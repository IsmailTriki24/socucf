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BF\SOC analyste\Client\BNA_Capitaux\"/>
    </mc:Choice>
  </mc:AlternateContent>
  <xr:revisionPtr revIDLastSave="0" documentId="8_{E53EF3BA-CB37-47A5-8A14-7E8898A8820F}" xr6:coauthVersionLast="47" xr6:coauthVersionMax="47" xr10:uidLastSave="{00000000-0000-0000-0000-000000000000}"/>
  <bookViews>
    <workbookView xWindow="-108" yWindow="-108" windowWidth="23256" windowHeight="13896" activeTab="1" xr2:uid="{00000000-000D-0000-FFFF-FFFF00000000}"/>
  </bookViews>
  <sheets>
    <sheet name="Lisez-moi" sheetId="1" r:id="rId1"/>
    <sheet name="Detections" sheetId="2" r:id="rId2"/>
    <sheet name="Sources_logs" sheetId="3" r:id="rId3"/>
  </sheets>
  <definedNames>
    <definedName name="_xlnm._FilterDatabase" localSheetId="1" hidden="1">Detections!$A$1:$I$83</definedName>
    <definedName name="_xlnm._FilterDatabase" localSheetId="2" hidden="1">Sources_logs!$A$1:$E$29</definedName>
    <definedName name="_xlnm.Print_Titles" localSheetId="1">Detections!$1:$1</definedName>
    <definedName name="_xlnm.Print_Titles" localSheetId="2">Sources_logs!$1:$1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3" l="1"/>
  <c r="E28" i="3"/>
  <c r="E27" i="3"/>
  <c r="E26" i="3"/>
  <c r="E25" i="3"/>
  <c r="E24" i="3"/>
  <c r="E23" i="3"/>
  <c r="E22" i="3"/>
  <c r="E21" i="3"/>
  <c r="E20" i="3"/>
  <c r="E19" i="3"/>
  <c r="E18" i="3"/>
  <c r="E17" i="3"/>
  <c r="E16" i="3"/>
  <c r="E15" i="3"/>
  <c r="E14" i="3"/>
  <c r="E13" i="3"/>
  <c r="E12" i="3"/>
  <c r="E11" i="3"/>
  <c r="E10" i="3"/>
  <c r="E9" i="3"/>
  <c r="E8" i="3"/>
  <c r="E7" i="3"/>
  <c r="E6" i="3"/>
  <c r="E5" i="3"/>
  <c r="E4" i="3"/>
  <c r="E3" i="3"/>
  <c r="E2" i="3"/>
  <c r="E40" i="1"/>
  <c r="D40" i="1"/>
  <c r="C40" i="1"/>
  <c r="B40" i="1"/>
  <c r="E39" i="1"/>
  <c r="D39" i="1"/>
  <c r="C39" i="1"/>
  <c r="B39" i="1"/>
  <c r="E38" i="1"/>
  <c r="D38" i="1"/>
  <c r="C38" i="1"/>
  <c r="B38" i="1"/>
  <c r="E37" i="1"/>
  <c r="D37" i="1"/>
  <c r="C37" i="1"/>
  <c r="B37" i="1"/>
  <c r="E36" i="1"/>
  <c r="D36" i="1"/>
  <c r="C36" i="1"/>
  <c r="B36" i="1"/>
  <c r="E35" i="1"/>
  <c r="D35" i="1"/>
  <c r="C35" i="1"/>
  <c r="B35" i="1"/>
  <c r="E34" i="1"/>
  <c r="D34" i="1"/>
  <c r="C34" i="1"/>
  <c r="B34" i="1"/>
  <c r="E33" i="1"/>
  <c r="D33" i="1"/>
  <c r="C33" i="1"/>
  <c r="B33" i="1"/>
  <c r="E32" i="1"/>
  <c r="D32" i="1"/>
  <c r="C32" i="1"/>
  <c r="B32" i="1"/>
  <c r="E31" i="1"/>
  <c r="D31" i="1"/>
  <c r="C31" i="1"/>
  <c r="B31" i="1"/>
  <c r="E30" i="1"/>
  <c r="E41" i="1" s="1"/>
  <c r="D30" i="1"/>
  <c r="C30" i="1"/>
  <c r="B30" i="1"/>
  <c r="D41" i="1" l="1"/>
  <c r="C41" i="1"/>
  <c r="B41" i="1"/>
</calcChain>
</file>

<file path=xl/sharedStrings.xml><?xml version="1.0" encoding="utf-8"?>
<sst xmlns="http://schemas.openxmlformats.org/spreadsheetml/2006/main" count="933" uniqueCount="638">
  <si>
    <t>ID</t>
  </si>
  <si>
    <t>Domaine</t>
  </si>
  <si>
    <t>Cas d'usage (attaque détectée)</t>
  </si>
  <si>
    <t>Type</t>
  </si>
  <si>
    <t>Logs à collecter</t>
  </si>
  <si>
    <t>Source des logs</t>
  </si>
  <si>
    <t>Logique de la règle</t>
  </si>
  <si>
    <t>Gravité</t>
  </si>
  <si>
    <t>MITRE ATT&amp;CK</t>
  </si>
  <si>
    <t>DET-001</t>
  </si>
  <si>
    <t>Identité &amp; AD</t>
  </si>
  <si>
    <t>Force brute suivie d'une connexion réussie</t>
  </si>
  <si>
    <t>Corrélation</t>
  </si>
  <si>
    <t>Échecs et succès d'authentification : Windows 4625 / 4624 (+ 4771, 4776), SSH et sudo, SSO / IdP (résultat, compte, IP source), VPN.</t>
  </si>
  <si>
    <t>AD – contrôleurs de domaine
SSO / fournisseur d'identité
Linux – auth, syslog, auditd
VPN / accès distant</t>
  </si>
  <si>
    <t>SI ≥ 8 échecs d'authentification sur un même compte, ou depuis une même IP source, en 10 min, PUIS 1 succès de ce compte depuis cette IP dans les 30 min → alerte. Exclure les comptes de service connus et les scanners de vulnérabilités autorisés.</t>
  </si>
  <si>
    <t>Haute</t>
  </si>
  <si>
    <t>T1110.001 Password Guessing
T1078 Valid Accounts</t>
  </si>
  <si>
    <t>DET-002</t>
  </si>
  <si>
    <t>Password spraying (un mot de passe sur de nombreux comptes)</t>
  </si>
  <si>
    <t>Échecs d'authentification avec compte et IP source : Windows 4625 / 4771 / 4776, SSO / IdP, connexions Entra ID ou Google Workspace.</t>
  </si>
  <si>
    <t>AD – contrôleurs de domaine
SSO / fournisseur d'identité
Messagerie / SaaS (M365, Google)</t>
  </si>
  <si>
    <t>SI une même IP source échoue sur ≥ 10 comptes distincts en 15 min (peu d'essais par compte) → alerte ; SI l'un de ces comptes réussit PUIS, depuis cette IP ou une IP du même réseau, dans les 60 min → critique.</t>
  </si>
  <si>
    <t>T1110.003 Password Spraying
T1078 Valid Accounts</t>
  </si>
  <si>
    <t>DET-003</t>
  </si>
  <si>
    <t>Verrouillages de comptes en masse</t>
  </si>
  <si>
    <t>Seuil</t>
  </si>
  <si>
    <t>Windows 4740 (compte verrouillé), événements de verrouillage du SSO / LDAP, avec le nom de la machine ou l'IP à l'origine.</t>
  </si>
  <si>
    <t>AD – contrôleurs de domaine
SSO / fournisseur d'identité</t>
  </si>
  <si>
    <t>SI ≥ 5 comptes distincts sont verrouillés en 10 min → alerte (spraying ou déni de service sur les comptes). Rapprocher de l'IP source des échecs 4625 / 4771.</t>
  </si>
  <si>
    <t>Moyenne</t>
  </si>
  <si>
    <t>T1110 Brute Force</t>
  </si>
  <si>
    <t>DET-004</t>
  </si>
  <si>
    <t>Connexion impossible ou provenance inhabituelle</t>
  </si>
  <si>
    <t>Connexions réussies avec IP source et géolocalisation : VPN, SSO, connexions M365 / Entra ID ou Google Workspace, webmail.</t>
  </si>
  <si>
    <t>VPN / accès distant
SSO / fournisseur d'identité
Messagerie / SaaS (M365, Google)</t>
  </si>
  <si>
    <t>SI une connexion réussie d'un compte est suivie PUIS, en ≤ 12 h, d'une connexion réussie du même compte depuis un autre pays impliquant une vitesse de déplacement &gt; 900 km/h (distance divisée par le temps écoulé), OU si la connexion vient d'un pays jamais vu pour ce compte en 30 jours → alerte. Exclure les IP des VPN et proxys d'entreprise.</t>
  </si>
  <si>
    <t>T1078 Valid Accounts</t>
  </si>
  <si>
    <t>DET-005</t>
  </si>
  <si>
    <t>Création d'un compte puis ajout à un groupe privilégié</t>
  </si>
  <si>
    <t>Création : Windows 4720, Linux « new user » (useradd), cloud CreateUser. Ajout au groupe : Windows 4728 / 4732 / 4756, usermod -aG sudo, AttachUserPolicy.</t>
  </si>
  <si>
    <t>AD – contrôleurs de domaine
Windows – journal Security
Linux – auth, syslog, auditd
Cloud – audit des API</t>
  </si>
  <si>
    <t>SI création d'un compte PUIS ajout de ce même compte à un groupe privilégié (Domain Admins, Enterprise Admins, Administrateurs locaux, sudo / wheel, rôle d'administration cloud) en ≤ 60 min, par le même acteur → critique.</t>
  </si>
  <si>
    <t>Critique</t>
  </si>
  <si>
    <t>T1136 Create Account
T1098 Account Manipulation</t>
  </si>
  <si>
    <t>DET-006</t>
  </si>
  <si>
    <t>Ajout d'un membre à un groupe privilégié hors processus</t>
  </si>
  <si>
    <t>Simple</t>
  </si>
  <si>
    <t>Windows 4728 / 4732 / 4756 (ajout), 4729 / 4733 (retrait) sur les groupes Domain Admins, Enterprise Admins, Schema Admins, Administrators, Account Operators, Backup Operators.</t>
  </si>
  <si>
    <t>AD – contrôleurs de domaine</t>
  </si>
  <si>
    <t>SI un membre est ajouté à un groupe de la liste privilégiée par un acteur absent de la liste des administrateurs habilités, ou en dehors d'une fenêtre de changement → alerte haute.</t>
  </si>
  <si>
    <t>T1098 Account Manipulation</t>
  </si>
  <si>
    <t>DET-007</t>
  </si>
  <si>
    <t>Kerberoasting et AS-REP roasting</t>
  </si>
  <si>
    <t>Windows 4769 (ticket de service : type de chiffrement, nom du service) et 4768 (ticket initial : type de pré-authentification).</t>
  </si>
  <si>
    <t>Kerberoasting : SI un même compte demande ≥ 5 tickets de service distincts en chiffrement RC4 (0x17), hors comptes machine ($) et krbtgt, en 5 min → alerte. AS-REP roasting : SI 4768 avec type de pré-authentification 0 (pré-authentification désactivée sur le compte) → alerte.</t>
  </si>
  <si>
    <t>T1558.003 Kerberoasting
T1558.004 AS-REP Roasting</t>
  </si>
  <si>
    <t>DET-008</t>
  </si>
  <si>
    <t>DCSync (réplication d'annuaire par un compte non contrôleur)</t>
  </si>
  <si>
    <t>Windows 4662 avec le droit de réplication DS-Replication-Get-Changes-All (GUID 1131f6ad-9c07-11d1-f79f-00c04fc2dcd2).</t>
  </si>
  <si>
    <t>SI un 4662 portant ce droit est déclenché par un compte qui n'est ni un contrôleur de domaine ni un compte de synchronisation d'annuaire connu → critique. L'audit « Directory Service Access » et un audit (SACL) sur l'objet domaine sont nécessaires.</t>
  </si>
  <si>
    <t>T1003.006 DCSync</t>
  </si>
  <si>
    <t>DET-009</t>
  </si>
  <si>
    <t>Mouvement latéral par compte administrateur (Pass-the-Hash)</t>
  </si>
  <si>
    <t>Windows 4624 type 3 (réseau) avec authentification NTLM, 4672 (privilèges spéciaux), 4776.</t>
  </si>
  <si>
    <t>Windows – journal Security
AD – contrôleurs de domaine</t>
  </si>
  <si>
    <t>SI un même compte ouvre des sessions réseau NTLM sur ≥ 5 machines distinctes en 10 min → alerte haute. Exclure les comptes de supervision, d'inventaire et de déploiement.</t>
  </si>
  <si>
    <t>T1550.002 Pass the Hash
T1021.002 SMB/Windows Admin Shares</t>
  </si>
  <si>
    <t>DET-010</t>
  </si>
  <si>
    <t>Modification d'objets sensibles de l'annuaire (GPO, AdminSDHolder, approbations)</t>
  </si>
  <si>
    <t>Windows 5136 (objet modifié), 5137 (créé), 5141 (supprimé) sur groupPolicyContainer, AdminSDHolder et objets d'approbation ; 4739 (stratégie de domaine modifiée).</t>
  </si>
  <si>
    <t>SI une GPO liée à la racine du domaine ou aux contrôleurs, l'objet AdminSDHolder ou une relation d'approbation est modifié par un compte hors équipe annuaire → alerte haute.</t>
  </si>
  <si>
    <t>T1484.001 Group Policy Modification
T1484.002 Trust Modification</t>
  </si>
  <si>
    <t>DET-011</t>
  </si>
  <si>
    <t>Poste &amp; serveur Windows</t>
  </si>
  <si>
    <t>Journal d'événements effacé</t>
  </si>
  <si>
    <t>Windows 1102 (journal Security effacé), 104 (journal System ou applicatif effacé).</t>
  </si>
  <si>
    <t>Windows – journal Security
Windows – System et Defender</t>
  </si>
  <si>
    <t>SI événement 1102 ou 104 → alerte critique, sauf maintenance planifiée documentée. Relever le compte qui a lancé l'effacement.</t>
  </si>
  <si>
    <t>T1685.005 Clear Windows Event Logs</t>
  </si>
  <si>
    <t>DET-012</t>
  </si>
  <si>
    <t>Antivirus ou EDR désactivé, ou exclusion ajoutée</t>
  </si>
  <si>
    <t>Defender 5001 (protection temps réel désactivée), 5007 (configuration modifiée, exclusion ajoutée), System 7036 (service arrêté) ; alertes d'altération de l'EDR.</t>
  </si>
  <si>
    <t>Windows – System et Defender
EDR / antivirus</t>
  </si>
  <si>
    <t>SI la protection temps réel est désactivée, le service antivirus / EDR arrêté, ou une exclusion (chemin, extension, processus) ajoutée hors GPO ou outil de gestion → alerte haute.</t>
  </si>
  <si>
    <t>T1685 Disable or Modify Tools</t>
  </si>
  <si>
    <t>DET-013</t>
  </si>
  <si>
    <t>Antivirus désactivé puis exécution suspecte</t>
  </si>
  <si>
    <t>Defender 5001 / 5007, System 7036 ; création de processus (4688 ou Sysmon 1 avec ligne de commande) ; PowerShell 4104.</t>
  </si>
  <si>
    <t>Windows – System et Defender
Windows – Sysmon
Windows – PowerShell
EDR / antivirus</t>
  </si>
  <si>
    <t>SI la protection antivirus est désactivée (cas précédent) PUIS, sur le même poste en ≤ 30 min, un processus démarre depuis un dossier temporaire ou AppData, ou une commande PowerShell encodée s'exécute → critique.</t>
  </si>
  <si>
    <t>T1685 Disable or Modify Tools
T1059.001 PowerShell</t>
  </si>
  <si>
    <t>DET-014</t>
  </si>
  <si>
    <t>Service ou tâche planifiée suspect (persistance, exécution à distance)</t>
  </si>
  <si>
    <t>Windows 7045 (System) ou 4697 (Security) : service installé ; 4698 : tâche planifiée créée ; Sysmon 1 (sc.exe, schtasks.exe).</t>
  </si>
  <si>
    <t>Windows – System et Defender
Windows – journal Security
Windows – Sysmon</t>
  </si>
  <si>
    <t>SI le service ou la tâche exécute un binaire situé dans un dossier temporaire, utilisateur, ProgramData ou sur un partage réseau, ou lance cmd, powershell, rundll32, mshta ou un script → alerte haute. Exclure les installeurs et outils de déploiement connus.</t>
  </si>
  <si>
    <t>T1543.003 Windows Service
T1053.005 Scheduled Task
T1569.002 Service Execution</t>
  </si>
  <si>
    <t>DET-015</t>
  </si>
  <si>
    <t>Partage administratif écrit puis service créé (type PsExec)</t>
  </si>
  <si>
    <t>Windows 5145 (accès à ADMIN$ ou C$ avec écriture), puis 7045 / 4697 (service installé) et 4624 type 3 sur la même cible.</t>
  </si>
  <si>
    <t>SI une écriture sur ADMIN$ ou C$ est faite depuis une machine distante PUIS un service est créé sur la même cible en ≤ 2 min → critique. Exclure les serveurs d'administration et de déploiement connus.</t>
  </si>
  <si>
    <t>T1021.002 SMB/Windows Admin Shares
T1569.002 Service Execution</t>
  </si>
  <si>
    <t>DET-016</t>
  </si>
  <si>
    <t>PowerShell obfusqué ou télécharge du code</t>
  </si>
  <si>
    <t>PowerShell 4104 (bloc de script) ; création de processus avec ligne de commande (4688 ou Sysmon 1).</t>
  </si>
  <si>
    <t>Windows – PowerShell
Windows – Sysmon
Windows – journal Security</t>
  </si>
  <si>
    <t>SI la commande ou le script contient -EncodedCommand / -enc, Invoke-Expression / IEX, DownloadString / DownloadFile / Net.WebClient, FromBase64String ou -WindowStyle Hidden → alerte moyenne ; haute si plusieurs motifs ou chaîne encodée &gt; 500 caractères.</t>
  </si>
  <si>
    <t>T1059.001 PowerShell
T1027 Obfuscated Files or Information</t>
  </si>
  <si>
    <t>DET-017</t>
  </si>
  <si>
    <t>Un document Office ou PDF lance un interpréteur</t>
  </si>
  <si>
    <t>Création de processus avec processus parent : Sysmon 1, ou 4688 avec ligne de commande.</t>
  </si>
  <si>
    <t>Windows – Sysmon
Windows – journal Security
EDR / antivirus</t>
  </si>
  <si>
    <t>SI le parent est winword.exe, excel.exe, powerpnt.exe, outlook.exe ou un lecteur PDF et l'enfant est cmd.exe, powershell.exe, wscript.exe, cscript.exe, mshta.exe, rundll32.exe ou regsvr32.exe → alerte haute.</t>
  </si>
  <si>
    <t>T1204.002 Malicious File
T1059.001 PowerShell</t>
  </si>
  <si>
    <t>DET-018</t>
  </si>
  <si>
    <t>Détournement d'outils système (LOLBins)</t>
  </si>
  <si>
    <t>Création de processus avec ligne de commande : Sysmon 1, 4688 ou EDR.</t>
  </si>
  <si>
    <t>SI certutil avec -urlcache ou -decode, mshta ou regsvr32 avec une URL, rundll32 avec « javascript: », bitsadmin /transfer, ou msiexec /i avec une URL → alerte haute.</t>
  </si>
  <si>
    <t>T1218.005 Mshta
T1218.010 Regsvr32
T1218.011 Rundll32
T1105 Ingress Tool Transfer
T1197 BITS Jobs</t>
  </si>
  <si>
    <t>DET-019</t>
  </si>
  <si>
    <t>Vol d'identifiants : accès à la mémoire de LSASS</t>
  </si>
  <si>
    <t>Sysmon 10 (accès à un processus : cible lsass.exe, droits demandés) ; ligne de commande (procdump, comsvcs.dll MiniDump).</t>
  </si>
  <si>
    <t>Windows – Sysmon
EDR / antivirus</t>
  </si>
  <si>
    <t>SI un processus autre que les composants système et l'EDR habituels ouvre lsass.exe avec des droits de lecture mémoire, OU une commande combine « lsass » avec procdump, MiniDump ou comsvcs.dll → critique.</t>
  </si>
  <si>
    <t>T1003.001 LSASS Memory</t>
  </si>
  <si>
    <t>DET-020</t>
  </si>
  <si>
    <t>Exécution à distance via WMI ou WinRM</t>
  </si>
  <si>
    <t>Création de processus avec processus parent (Sysmon 1 ou 4688), 4624 type 3 sur la cible.</t>
  </si>
  <si>
    <t>Windows – Sysmon
Windows – journal Security</t>
  </si>
  <si>
    <t>SI cmd.exe ou powershell.exe est lancé par WmiPrvSE.exe ou wsmprovhost.exe depuis un hôte hors de la liste d'administration → alerte haute.</t>
  </si>
  <si>
    <t>T1047 Windows Management Instrumentation
T1021.006 Windows Remote Management</t>
  </si>
  <si>
    <t>DET-021</t>
  </si>
  <si>
    <t>Balayage RDP : un compte sur de nombreuses machines</t>
  </si>
  <si>
    <t>Windows 4624 type 10 et 4625 (RDP), 4778 / 4779 (reconnexion, déconnexion) ; flux vers le port 3389 du pare-feu.</t>
  </si>
  <si>
    <t>Windows – journal Security
Pare-feu</t>
  </si>
  <si>
    <t>SI un même compte ou une même IP ouvre des sessions RDP sur ≥ 5 machines distinctes en 15 min → alerte haute. Exclure les serveurs de rebond et d'administration.</t>
  </si>
  <si>
    <t>T1021.001 Remote Desktop Protocol</t>
  </si>
  <si>
    <t>DET-022</t>
  </si>
  <si>
    <t>Linux / Unix</t>
  </si>
  <si>
    <t>Connexion root directe ou élévation vers root inhabituelle</t>
  </si>
  <si>
    <t>sshd « Accepted … for root », « session opened for user root » (su, sudo).</t>
  </si>
  <si>
    <t>Linux – auth, syslog, auditd</t>
  </si>
  <si>
    <t>SI une connexion SSH directe du compte root aboutit, OU un su vers root est fait par un compte absent de la liste d'administration → alerte moyenne.</t>
  </si>
  <si>
    <t>T1078.003 Local Accounts
T1021.004 SSH</t>
  </si>
  <si>
    <t>DET-023</t>
  </si>
  <si>
    <t>Échecs sudo puis commande privilégiée</t>
  </si>
  <si>
    <t>sudo : « authentication failure », « incorrect password attempts », puis ligne COMMAND= de la commande exécutée.</t>
  </si>
  <si>
    <t>SI ≥ 3 échecs sudo d'un même utilisateur en 10 min PUIS une commande sudo réussie (shell root, /bin/bash, su -) → alerte haute.</t>
  </si>
  <si>
    <t>T1548.003 Sudo and Sudo Caching</t>
  </si>
  <si>
    <t>DET-024</t>
  </si>
  <si>
    <t>Création d'un compte puis ajout à sudo ou wheel</t>
  </si>
  <si>
    <t>useradd / adduser (« new user »), usermod -aG sudo ou wheel, modification de /etc/sudoers et /etc/sudoers.d (auditd ou FIM).</t>
  </si>
  <si>
    <t>Linux – auth, syslog, auditd
Intégrité des fichiers (FIM)</t>
  </si>
  <si>
    <t>SI un compte est créé PUIS ajouté au groupe sudo / wheel ou à /etc/sudoers en ≤ 60 min → critique.</t>
  </si>
  <si>
    <t>T1136.001 Local Account
T1098 Account Manipulation</t>
  </si>
  <si>
    <t>DET-025</t>
  </si>
  <si>
    <t>Fichiers d'authentification ou de configuration critiques modifiés</t>
  </si>
  <si>
    <t>FIM temps réel sur /etc/passwd, /etc/shadow, /etc/sudoers, /etc/ssh/sshd_config, /etc/pam.d/, /etc/ld.so.preload et ~/.ssh/authorized_keys.</t>
  </si>
  <si>
    <t>Intégrité des fichiers (FIM)</t>
  </si>
  <si>
    <t>SI l'un de ces fichiers est créé ou modifié hors outil de gestion de configuration ou fenêtre de maintenance → alerte haute ; critique pour ld.so.preload ou un authorized_keys de compte privilégié.</t>
  </si>
  <si>
    <t>T1098.004 SSH Authorized Keys
T1556.003 Pluggable Authentication Modules
T1574.006 Dynamic Linker Hijacking</t>
  </si>
  <si>
    <t>DET-026</t>
  </si>
  <si>
    <t>Persistance par cron, systemd ou démarrage</t>
  </si>
  <si>
    <t>FIM ou auditd sur /etc/cron*, /var/spool/cron, /etc/systemd/system, ~/.config/systemd, /etc/rc.local, profils shell.</t>
  </si>
  <si>
    <t>Intégrité des fichiers (FIM)
Linux – auth, syslog, auditd</t>
  </si>
  <si>
    <t>SI un élément de planification ou de démarrage est créé hors gestion de configuration, surtout s'il lance un script depuis /tmp, /dev/shm ou une URL → alerte haute.</t>
  </si>
  <si>
    <t>T1053.003 Cron
T1543.002 Systemd Service</t>
  </si>
  <si>
    <t>DET-027</t>
  </si>
  <si>
    <t>Reverse shell ou exécution depuis un dossier temporaire</t>
  </si>
  <si>
    <t>auditd EXECVE (ligne de commande) et connexions sortantes (SYSCALL connect), ou télémétrie EDR.</t>
  </si>
  <si>
    <t>Linux – auth, syslog, auditd
EDR / antivirus</t>
  </si>
  <si>
    <t>SI un shell est lancé avec une redirection vers un socket (/dev/tcp, nc -e, python avec socket), OU un binaire s'exécute depuis /tmp, /dev/shm ou /var/tmp → alerte haute.</t>
  </si>
  <si>
    <t>T1059.004 Unix Shell</t>
  </si>
  <si>
    <t>DET-028</t>
  </si>
  <si>
    <t>Effacement de traces (journaux, historique)</t>
  </si>
  <si>
    <t>auditd (suppression ou troncature sous /var/log, arrêt de auditd), commandes history -c, unset HISTFILE, HISTFILE=/dev/null.</t>
  </si>
  <si>
    <t>SI un journal sous /var/log est supprimé ou tronqué, le service d'audit ou de syslog est arrêté, ou l'historique shell est purgé ou désactivé → alerte haute.</t>
  </si>
  <si>
    <t>T1685.006 Clear Linux or Mac System Logs
T1685.004 Disable or Modify Linux Audit System Log
T1690 Prevent Command History Logging</t>
  </si>
  <si>
    <t>DET-029</t>
  </si>
  <si>
    <t>Web &amp; applications</t>
  </si>
  <si>
    <t>Reconnaissance et scan web</t>
  </si>
  <si>
    <t>Journal d'accès web : IP source, URI, code HTTP, User-Agent.</t>
  </si>
  <si>
    <t>Serveur web (IIS, Apache, Nginx)
WAF / reverse proxy</t>
  </si>
  <si>
    <t>SI ≥ 50 réponses 404 / 403 en 1 min depuis une même IP, OU un User-Agent d'outil d'attaque connu (sqlmap, nikto, nmap, gobuster, dirbuster, wpscan) → alerte basse ; haute si l'IP enchaîne ensuite avec une exploitation (cas « Reconnaissance puis exploitation »).</t>
  </si>
  <si>
    <t>Basse</t>
  </si>
  <si>
    <t>T1595.002 Vulnerability Scanning</t>
  </si>
  <si>
    <t>DET-030</t>
  </si>
  <si>
    <t>Motif d'injection dans une requête (SQL, XSS, traversée de chemin, JNDI)</t>
  </si>
  <si>
    <t>URI, paramètres et en-têtes de la requête, code et taille de la réponse ; décision et règle du WAF.</t>
  </si>
  <si>
    <t>SI l'URI ou les paramètres contiennent un motif d'attaque (UNION SELECT, ' OR 1=1, ../, %2e%2e/, &lt;script, /etc/passwd, cmd.exe, ${jndi:) → alerte moyenne ; haute si le serveur répond 200 ou 500.</t>
  </si>
  <si>
    <t>T1190 Exploit Public-Facing Application</t>
  </si>
  <si>
    <t>DET-031</t>
  </si>
  <si>
    <t>Reconnaissance puis exploitation depuis la même IP</t>
  </si>
  <si>
    <t>Journal d'accès web et journal du WAF : IP source, URI, code HTTP.</t>
  </si>
  <si>
    <t>SI une même IP déclenche un scan (≥ 50 réponses 404 / 403 en 1 min) PUIS un motif d'injection dans les 30 min, avec au moins une réponse 200 ou 500 → critique.</t>
  </si>
  <si>
    <t>T1595.002 Vulnerability Scanning
T1190 Exploit Public-Facing Application</t>
  </si>
  <si>
    <t>DET-032</t>
  </si>
  <si>
    <t>Webshell : script déposé puis appelé</t>
  </si>
  <si>
    <t>FIM (création ou modification de .php, .jsp, .aspx, .ashx, .war dans le répertoire web) et journal d'accès (requêtes vers ce fichier).</t>
  </si>
  <si>
    <t>Intégrité des fichiers (FIM)
Serveur web (IIS, Apache, Nginx)</t>
  </si>
  <si>
    <t>SI un script est créé ou modifié dans le répertoire web hors déploiement PUIS reçoit une requête (surtout POST) dans les 60 min → critique. Le FIM doit être en temps réel.</t>
  </si>
  <si>
    <t>T1505.003 Web Shell</t>
  </si>
  <si>
    <t>DET-033</t>
  </si>
  <si>
    <t>Le serveur web lance un shell ou une commande système</t>
  </si>
  <si>
    <t>Création de processus avec processus parent : Sysmon 1, auditd EXECVE ou EDR.</t>
  </si>
  <si>
    <t>Windows – Sysmon
Linux – auth, syslog, auditd
EDR / antivirus</t>
  </si>
  <si>
    <t>SI le parent est w3wp.exe, httpd, nginx, apache2, php-fpm, tomcat / java ou node et l'enfant est cmd, powershell, sh, bash, whoami, curl ou wget → critique.</t>
  </si>
  <si>
    <t>T1505.003 Web Shell
T1059 Command and Scripting Interpreter</t>
  </si>
  <si>
    <t>DET-034</t>
  </si>
  <si>
    <t>Force brute sur un formulaire de connexion web ou une API</t>
  </si>
  <si>
    <t>Requêtes POST vers /login, /signin, /api/auth avec code retour (401 / 403 contre 200 / 302) ; compte ciblé si journalisé.</t>
  </si>
  <si>
    <t>Serveur web (IIS, Apache, Nginx)
WAF / reverse proxy
Application métier / API</t>
  </si>
  <si>
    <t>SI ≥ 20 échecs (401 / 403) d'une même IP, ou ≥ 10 comptes distincts ciblés, en 5 min PUIS une réponse de succès (200 / 302 avec ouverture de session) pour l'un de ces comptes → alerte haute.</t>
  </si>
  <si>
    <t>T1110 Brute Force
T1110.004 Credential Stuffing</t>
  </si>
  <si>
    <t>DET-035</t>
  </si>
  <si>
    <t>Accès à des chemins ou fichiers sensibles</t>
  </si>
  <si>
    <t>Journal d'accès web : URI, code HTTP, taille de la réponse.</t>
  </si>
  <si>
    <t>SI une IP externe obtient une réponse 200 sur /.git, /.env, /phpmyadmin, /server-status, /actuator, /admin, un fichier .bak, .old ou .sql, ou wp-config → alerte moyenne ; haute si la taille de la réponse est importante.</t>
  </si>
  <si>
    <t>T1190 Exploit Public-Facing Application
T1552.001 Credentials In Files</t>
  </si>
  <si>
    <t>DET-036</t>
  </si>
  <si>
    <t>Énumération d'objets d'une API (accès hors périmètre)</t>
  </si>
  <si>
    <t>Journal de l'application ou de la passerelle d'API : jeton ou compte, identifiant d'objet demandé, code retour.</t>
  </si>
  <si>
    <t>Application métier / API
WAF / reverse proxy</t>
  </si>
  <si>
    <t>SI un même jeton ou compte appelle ≥ 50 identifiants d'objet distincts en 5 min (ou une suite d'identifiants incrémentaux) avec des accès à des objets d'autres comptes → alerte haute.</t>
  </si>
  <si>
    <t>DET-037</t>
  </si>
  <si>
    <t>Réseau &amp; périmètre</t>
  </si>
  <si>
    <t>Balayage de ports ou d'hôtes</t>
  </si>
  <si>
    <t>Flux autorisés et refusés : IP source, IP et port destination.</t>
  </si>
  <si>
    <t>Pare-feu
IDS / IPS</t>
  </si>
  <si>
    <t>SI une même IP source atteint ≥ 100 ports distincts d'une cible, OU ≥ 50 hôtes distincts sur un même port, en 5 min → alerte moyenne ; haute si la source est interne.</t>
  </si>
  <si>
    <t>T1046 Network Service Discovery
T1595 Active Scanning</t>
  </si>
  <si>
    <t>DET-038</t>
  </si>
  <si>
    <t>Communication avec une destination malveillante connue</t>
  </si>
  <si>
    <t>IP, domaine et URL de destination (pare-feu, proxy, DNS) ; hash de fichier (EDR).</t>
  </si>
  <si>
    <t>Pare-feu
Proxy web
DNS (requêtes)</t>
  </si>
  <si>
    <t>SI une destination (IP, domaine, URL) figure dans une liste de renseignement sur les menaces à jour → alerte haute ; critique si le flux est autorisé et initié depuis un serveur.</t>
  </si>
  <si>
    <t>T1071.001 Web Protocols
T1071.004 DNS</t>
  </si>
  <si>
    <t>DET-039</t>
  </si>
  <si>
    <t>Balises régulières vers l'extérieur (beaconing)</t>
  </si>
  <si>
    <t>Flux sortants : IP source, destination, port, horodatage, volume ; requêtes proxy ou DNS.</t>
  </si>
  <si>
    <t>SI un hôte établit ≥ 20 connexions vers la même destination externe en 1 h avec un intervalle quasi constant (écart &lt; 10 %) et de faibles volumes → alerte moyenne. Exclure mises à jour, supervision et NTP.</t>
  </si>
  <si>
    <t>T1071.001 Web Protocols
T1573 Encrypted Channel</t>
  </si>
  <si>
    <t>DET-040</t>
  </si>
  <si>
    <t>Tunnel DNS ou noms générés automatiquement</t>
  </si>
  <si>
    <t>Requêtes DNS : client, nom demandé, type (A, TXT, NULL), code de réponse (NXDOMAIN).</t>
  </si>
  <si>
    <t>DNS (requêtes)</t>
  </si>
  <si>
    <t>SI un hôte émet ≥ 200 requêtes vers des sous-domaines distincts d'un même domaine en 5 min, OU ≥ 50 réponses NXDOMAIN en 5 min, OU des noms de plus de 50 caractères ou des requêtes TXT en volume → alerte haute.</t>
  </si>
  <si>
    <t>T1071.004 DNS
T1572 Protocol Tunneling
T1568.002 Domain Generation Algorithms</t>
  </si>
  <si>
    <t>DET-041</t>
  </si>
  <si>
    <t>Service d'administration exposé ou flux sortant interdit autorisé</t>
  </si>
  <si>
    <t>Flux autorisés : IP source, IP et port destination, règle appliquée.</t>
  </si>
  <si>
    <t>Pare-feu</t>
  </si>
  <si>
    <t>SI un flux entrant depuis Internet est autorisé vers RDP 3389, SMB 445, SSH 22, Telnet 23, WinRM 5985 / 5986 ou un port de base de données (1433, 1521, 3306, 5432), OU un flux sortant vers Internet est autorisé sur 445, 135, 3389 ou 23 → alerte haute (revue de la règle).</t>
  </si>
  <si>
    <t>T1133 External Remote Services
T1048 Exfiltration Over Alternative Protocol</t>
  </si>
  <si>
    <t>DET-042</t>
  </si>
  <si>
    <t>Alerte d'exploitation non bloquée puis connexion sortante</t>
  </si>
  <si>
    <t>Alertes IDS / IPS (signature, gravité, action, cible) et journal des flux.</t>
  </si>
  <si>
    <t>IDS / IPS
Pare-feu</t>
  </si>
  <si>
    <t>SI une alerte IDS / IPS de gravité haute ou critique (exploit) vise une cible sans être bloquée PUIS la cible initie une connexion sortante vers une IP externe rare ou vers l'attaquant en ≤ 15 min → critique.</t>
  </si>
  <si>
    <t>T1190 Exploit Public-Facing Application
T1071 Application Layer Protocol</t>
  </si>
  <si>
    <t>DET-043</t>
  </si>
  <si>
    <t>Équipement d'administration attaqué : échecs, connexion, changement de configuration</t>
  </si>
  <si>
    <t>Journal d'administration de l'équipement : connexions (résultat, compte, IP source) et changements de configuration.</t>
  </si>
  <si>
    <t>Pare-feu
Routeurs et commutateurs</t>
  </si>
  <si>
    <t>SI ≥ 4 échecs de connexion d'administration en 15 min PUIS une connexion réussie PUIS une modification de configuration (même IP ou même compte), le tout en ≤ 30 min → critique.</t>
  </si>
  <si>
    <t>T1110 Brute Force
T1078 Valid Accounts
T1686.002 Network Device Firewall</t>
  </si>
  <si>
    <t>DET-044</t>
  </si>
  <si>
    <t>Règle de filtrage trop permissive ou journalisation désactivée</t>
  </si>
  <si>
    <t>Journal d'audit de configuration : utilisateur, objet, ancienne et nouvelle valeur.</t>
  </si>
  <si>
    <t>SI une règle any → any ou une règle entrante vers un serveur interne est créée ou modifiée, OU la journalisation ou l'IPS est désactivée, hors fenêtre de changement → alerte haute.</t>
  </si>
  <si>
    <t>T1686.002 Network Device Firewall</t>
  </si>
  <si>
    <t>DET-045</t>
  </si>
  <si>
    <t>Accès VPN anormal : échecs puis succès, sessions simultanées</t>
  </si>
  <si>
    <t>Journal VPN : compte, IP source, pays, résultat, début et fin de session.</t>
  </si>
  <si>
    <t>VPN / accès distant</t>
  </si>
  <si>
    <t>SI ≥ 5 échecs VPN pour un compte en 15 min PUIS un succès depuis une IP ou un pays nouveau dans les 30 min, OU 2 sessions VPN simultanées du même compte depuis 2 pays → alerte haute.</t>
  </si>
  <si>
    <t>T1133 External Remote Services
T1110 Brute Force
T1078 Valid Accounts</t>
  </si>
  <si>
    <t>DET-046</t>
  </si>
  <si>
    <t>Déni de service volumétrique ou applicatif</t>
  </si>
  <si>
    <t>Flux et nombre de connexions par service, taux d'erreurs 5xx, requêtes par IP.</t>
  </si>
  <si>
    <t>Pare-feu
WAF / reverse proxy</t>
  </si>
  <si>
    <t>SI le trafic ou le nombre de connexions vers un service dépasse 5 fois sa ligne de base sur 5 min, OU ≥ 10 000 connexions par minute viennent de ≥ 100 IP distinctes → alerte haute.</t>
  </si>
  <si>
    <t>T1498 Network Denial of Service
T1499 Endpoint Denial of Service</t>
  </si>
  <si>
    <t>DET-047</t>
  </si>
  <si>
    <t>Messagerie &amp; SaaS</t>
  </si>
  <si>
    <t>Connexion suspecte suivie d'une règle de transfert de messagerie</t>
  </si>
  <si>
    <t>Connexions (IP, pays, risque, anonymiseur) et audit de la boîte : New-InboxRule, Set-InboxRule, Set-Mailbox (ForwardingSmtpAddress).</t>
  </si>
  <si>
    <t>Messagerie / SaaS (M365, Google)</t>
  </si>
  <si>
    <t>SI une connexion est suspecte (nouveau pays, IP d'anonymiseur ou Tor, risque moyen ou élevé) PUIS une règle de boîte (transfert, redirection, suppression) ou un transfert de boîte est créé pour ce compte en ≤ 24 h → critique.</t>
  </si>
  <si>
    <t>T1078.004 Cloud Accounts
T1114.003 Email Forwarding Rule</t>
  </si>
  <si>
    <t>DET-048</t>
  </si>
  <si>
    <t>Règle de boîte qui transfère à l'extérieur ou supprime</t>
  </si>
  <si>
    <t>Audit de la boîte : New-InboxRule, Set-InboxRule, UpdateInboxRules avec actions de transfert, redirection, suppression.</t>
  </si>
  <si>
    <t>SI une règle de boîte transfère ou redirige vers une adresse externe, ou déplace / supprime automatiquement des messages, notamment ceux contenant des mots comme facture, virement ou paiement → alerte haute.</t>
  </si>
  <si>
    <t>T1114.003 Email Forwarding Rule</t>
  </si>
  <si>
    <t>DET-049</t>
  </si>
  <si>
    <t>Fatigue MFA : demandes répétées puis validation</t>
  </si>
  <si>
    <t>Connexions avec résultat du facteur MFA : refusé, sans réponse, approuvé.</t>
  </si>
  <si>
    <t>Messagerie / SaaS (M365, Google)
SSO / fournisseur d'identité</t>
  </si>
  <si>
    <t>SI ≥ 5 demandes MFA sont refusées ou restent sans réponse pour un compte en 10 min PUIS une validation MFA a lieu → alerte haute.</t>
  </si>
  <si>
    <t>T1621 Multi-Factor Authentication Request Generation</t>
  </si>
  <si>
    <t>DET-050</t>
  </si>
  <si>
    <t>Méthode MFA ajoutée ou retirée après une connexion à risque</t>
  </si>
  <si>
    <t>Connexions à risque ou inhabituelles ; audit d'annuaire : enregistrement ou suppression d'une méthode MFA, nouvel appareil enregistré.</t>
  </si>
  <si>
    <t>SI une connexion est à risque ou inhabituelle PUIS une méthode MFA est ajoutée ou retirée, ou un nouvel appareil enregistré, pour le même compte en ≤ 1 h → critique.</t>
  </si>
  <si>
    <t>T1556.006 Multi-Factor Authentication
T1098.005 Device Registration</t>
  </si>
  <si>
    <t>DET-051</t>
  </si>
  <si>
    <t>Consentement OAuth à une application aux droits étendus</t>
  </si>
  <si>
    <t>Audit d'annuaire : « Consent to application » avec les permissions accordées et l'éditeur de l'application.</t>
  </si>
  <si>
    <t>SI un consentement est accordé à une application non vérifiée ou inconnue avec des droits étendus (lecture ou envoi de courrier, accès complet aux fichiers, offline_access), surtout par un utilisateur non administrateur → alerte haute.</t>
  </si>
  <si>
    <t>T1528 Steal Application Access Token
T1550.001 Application Access Token</t>
  </si>
  <si>
    <t>DET-052</t>
  </si>
  <si>
    <t>Rôle d'administration ou droits sur une boîte attribués</t>
  </si>
  <si>
    <t>Audit d'annuaire : « Add member to role » ; audit de boîte : Add-MailboxPermission (FullAccess), Add-RecipientPermission (SendAs).</t>
  </si>
  <si>
    <t>SI un rôle d'administration (Global Administrator, Exchange Administrator…) ou un droit FullAccess / SendAs est attribué hors processus de gestion des accès privilégiés → alerte haute.</t>
  </si>
  <si>
    <t>T1098.003 Additional Cloud Roles
T1098.002 Additional Email Delegate Permissions</t>
  </si>
  <si>
    <t>DET-053</t>
  </si>
  <si>
    <t>Message de phishing livré puis cliqué</t>
  </si>
  <si>
    <t>Passerelle : message livré avec verdict (phishing, malveillant, rappelé après livraison) ; clics sur URL réécrite ; requêtes proxy ou DNS vers l'URL.</t>
  </si>
  <si>
    <t>Passerelle de messagerie
Messagerie / SaaS (M365, Google)
Proxy web</t>
  </si>
  <si>
    <t>SI un message classé phishing ou malveillant (ou rappelé après livraison) est livré PUIS au moins un destinataire clique ou ouvre la pièce jointe en ≤ 24 h → alerte haute ; critique si ≥ 3 destinataires.</t>
  </si>
  <si>
    <t>T1566.002 Spearphishing Link
T1204.001 Malicious Link</t>
  </si>
  <si>
    <t>DET-054</t>
  </si>
  <si>
    <t>Audit désactivé ou accès conditionnel modifié</t>
  </si>
  <si>
    <t>Audit d'administration : arrêt de l'ingestion du journal d'audit, modification ou suppression d'une politique d'accès conditionnel ou anti-phishing.</t>
  </si>
  <si>
    <t>SI l'audit est désactivé, ou si une politique d'accès conditionnel ou de protection de la messagerie est modifiée ou supprimée hors changement approuvé → alerte haute.</t>
  </si>
  <si>
    <t>T1556.009 Conditional Access Policies
T1685.002 Disable or Modify Cloud Log</t>
  </si>
  <si>
    <t>DET-055</t>
  </si>
  <si>
    <t>Cloud</t>
  </si>
  <si>
    <t>Usage du compte racine ou propriétaire, ou administrateur sans MFA</t>
  </si>
  <si>
    <t>Connexions console et appels d'API : type d'identité (racine, propriétaire), MFA utilisée oui / non.</t>
  </si>
  <si>
    <t>Cloud – audit des API</t>
  </si>
  <si>
    <t>SI le compte racine ou propriétaire du compte cloud est utilisé (connexion ou appel d'API), OU un administrateur se connecte à la console sans MFA → critique.</t>
  </si>
  <si>
    <t>T1078.004 Cloud Accounts</t>
  </si>
  <si>
    <t>DET-056</t>
  </si>
  <si>
    <t>Journalisation d'audit cloud désactivée ou réduite</t>
  </si>
  <si>
    <t>StopLogging, DeleteTrail, UpdateTrail, PutEventSelectors (AWS) ; suppression de diagnostic settings (Azure) ; suppression d'un sink de journaux (GCP).</t>
  </si>
  <si>
    <t>SI la journalisation d'audit est désactivée, supprimée ou son périmètre réduit → critique.</t>
  </si>
  <si>
    <t>T1685.002 Disable or Modify Cloud Log</t>
  </si>
  <si>
    <t>DET-057</t>
  </si>
  <si>
    <t>Nouvelle clé d'accès puis usage depuis une IP inconnue</t>
  </si>
  <si>
    <t>CreateAccessKey ou ajout de secret ou certificat d'application ; appels d'API avec IP source et région.</t>
  </si>
  <si>
    <t>SI une clé d'accès (ou un secret d'application) est créée PUIS utilisée depuis une IP ou un pays jamais vu pour cette identité en ≤ 24 h → alerte haute.</t>
  </si>
  <si>
    <t>T1098.001 Additional Cloud Credentials
T1078.004 Cloud Accounts</t>
  </si>
  <si>
    <t>DET-058</t>
  </si>
  <si>
    <t>Élévation de privilèges IAM</t>
  </si>
  <si>
    <t>AttachUserPolicy, AttachRolePolicy, PutUserPolicy, CreatePolicyVersion (AWS) ; roleAssignments/write (Azure) ; SetIamPolicy (GCP).</t>
  </si>
  <si>
    <t>SI une politique d'administration (AdministratorAccess, *:*) ou un rôle Owner, Contributor ou User Access Administrator est attribué hors pipeline de déploiement → alerte haute.</t>
  </si>
  <si>
    <t>T1098.003 Additional Cloud Roles
T1078.004 Cloud Accounts</t>
  </si>
  <si>
    <t>DET-059</t>
  </si>
  <si>
    <t>Ressource cloud exposée à Internet</t>
  </si>
  <si>
    <t>PutBucketPolicy, PutBucketAcl (accès public), AuthorizeSecurityGroupIngress vers 0.0.0.0/0, partage public d'un snapshot ou d'une image, accès anonyme à un conteneur de stockage.</t>
  </si>
  <si>
    <t>SI un stockage devient public, OU un groupe de sécurité ouvre 22, 3389 ou un port de base de données à 0.0.0.0/0 → alerte haute.</t>
  </si>
  <si>
    <t>T1530 Data from Cloud Storage</t>
  </si>
  <si>
    <t>DET-060</t>
  </si>
  <si>
    <t>Reconnaissance de l'API cloud (refus d'accès en rafale)</t>
  </si>
  <si>
    <t>Appels d'API avec code d'erreur (AccessDenied, UnauthorizedOperation) et appels de découverte (List, Describe, Get).</t>
  </si>
  <si>
    <t>SI une identité génère ≥ 30 erreurs d'accès refusé, ou ≥ 100 appels de découverte distincts, en 5 min → alerte moyenne.</t>
  </si>
  <si>
    <t>T1580 Cloud Infrastructure Discovery
T1087 Account Discovery</t>
  </si>
  <si>
    <t>DET-061</t>
  </si>
  <si>
    <t>Lecture ou téléchargement massif d'un stockage cloud</t>
  </si>
  <si>
    <t>Journaux d'accès au stockage (GetObject, ListBucket, volumes, IP source) ; événements sur les données activés.</t>
  </si>
  <si>
    <t>Cloud – flux réseau et stockage
Cloud – audit des API</t>
  </si>
  <si>
    <t>SI une même identité lit ≥ 1 000 objets ou télécharge ≥ 5 Go d'un stockage sensible en 1 h, ou depuis une IP externe jamais vue → alerte haute.</t>
  </si>
  <si>
    <t>T1530 Data from Cloud Storage
T1537 Transfer Data to Cloud Account</t>
  </si>
  <si>
    <t>DET-062</t>
  </si>
  <si>
    <t>Bases de données &amp; données</t>
  </si>
  <si>
    <t>Échecs de connexion à la base puis succès</t>
  </si>
  <si>
    <t>Connexions réussies et échouées : SQL Server 18456, audit Oracle, PostgreSQL ou MySQL (utilisateur, IP, résultat).</t>
  </si>
  <si>
    <t>Base de données (audit)</t>
  </si>
  <si>
    <t>SI ≥ 5 échecs de connexion d'un compte ou d'une IP en 10 min PUIS une connexion réussie du même compte ou de la même IP → alerte haute.</t>
  </si>
  <si>
    <t>T1110 Brute Force
T1078 Valid Accounts</t>
  </si>
  <si>
    <t>DET-063</t>
  </si>
  <si>
    <t>Accès à la base depuis un hôte non autorisé</t>
  </si>
  <si>
    <t>Connexions à la base : compte, IP source, application cliente.</t>
  </si>
  <si>
    <t>Base de données (audit)
Pare-feu</t>
  </si>
  <si>
    <t>SI une connexion à la base vient d'une IP hors de la liste des serveurs applicatifs et des postes d'administration, ou d'un compte applicatif utilisé depuis un poste utilisateur → alerte haute.</t>
  </si>
  <si>
    <t>DET-064</t>
  </si>
  <si>
    <t>Export massif de données</t>
  </si>
  <si>
    <t>Audit des requêtes : lignes retournées, volume, commandes d'export (bcp, mysqldump, pg_dump, SELECT … INTO OUTFILE).</t>
  </si>
  <si>
    <t>SI une session lit ≥ 100 000 lignes (ou ≥ 10 fois sa moyenne) en 10 min, ou lance un export ou un dump, hors sauvegarde planifiée → alerte haute.</t>
  </si>
  <si>
    <t>T1213 Data from Information Repositories</t>
  </si>
  <si>
    <t>DET-065</t>
  </si>
  <si>
    <t>Octroi de privilèges ou commande système dans la base</t>
  </si>
  <si>
    <t>GRANT, CREATE USER, ALTER ROLE ; sp_configure (xp_cmdshell) ; DROP et TRUNCATE.</t>
  </si>
  <si>
    <t>SI un rôle d'administration (DBA, sysadmin, db_owner) est octroyé, un compte créé, l'exécution de commandes système activée (xp_cmdshell) ou une table supprimée (DROP, TRUNCATE) hors maintenance → alerte haute.</t>
  </si>
  <si>
    <t>T1136 Create Account
T1098 Account Manipulation
T1505.001 SQL Stored Procedures
T1485 Data Destruction</t>
  </si>
  <si>
    <t>DET-066</t>
  </si>
  <si>
    <t>Archive volumineuse créée puis envoyée à l'extérieur</t>
  </si>
  <si>
    <t>Création de fichier archive (Sysmon 11, EDR) ; flux sortants avec volumes (pare-feu, proxy).</t>
  </si>
  <si>
    <t>Windows – Sysmon
EDR / antivirus
Pare-feu
Proxy web</t>
  </si>
  <si>
    <t>SI une archive (zip, rar, 7z, tar) de plus de 500 Mo ou regroupant ≥ 1 000 fichiers est créée PUIS plus de 100 Mo partent du même hôte vers une destination externe (cloud personnel, FTP, SFTP) en ≤ 2 h → critique.</t>
  </si>
  <si>
    <t>T1560 Archive Collected Data
T1074 Data Staged
T1048 Exfiltration Over Alternative Protocol
T1567 Exfiltration Over Web Service</t>
  </si>
  <si>
    <t>DET-067</t>
  </si>
  <si>
    <t>Accès massif à des fichiers sensibles</t>
  </si>
  <si>
    <t>Windows 4663 (accès à un objet : lecture) ou audit du NAS : utilisateur, fichier, opération.</t>
  </si>
  <si>
    <t>Serveur de fichiers / NAS</t>
  </si>
  <si>
    <t>SI un même utilisateur lit ou copie ≥ 500 fichiers (ou ≥ 100 dans des dossiers classés sensibles) en 10 min → alerte moyenne ; haute hors horaires de travail.</t>
  </si>
  <si>
    <t>T1039 Data from Network Shared Drive
T1005 Data from Local System</t>
  </si>
  <si>
    <t>DET-068</t>
  </si>
  <si>
    <t>Copie vers un support amovible ou un cloud personnel</t>
  </si>
  <si>
    <t>EDR : écriture sur support amovible (volume) ; proxy : téléversement vers un service de stockage ou de partage.</t>
  </si>
  <si>
    <t>EDR / antivirus
Proxy web</t>
  </si>
  <si>
    <t>SI plus de 500 Mo sont écrits sur un support amovible, OU plus de 100 Mo téléversés vers un service de stockage non autorisé, en 1 h → alerte moyenne.</t>
  </si>
  <si>
    <t>T1052.001 Exfiltration over USB
T1567 Exfiltration Over Web Service</t>
  </si>
  <si>
    <t>DET-069</t>
  </si>
  <si>
    <t>Conteneurs &amp; virtualisation</t>
  </si>
  <si>
    <t>Conteneur privilégié ou montage sensible</t>
  </si>
  <si>
    <t>Audit de l'API Kubernetes (création de pod : privileged, hostPID, hostNetwork, hostPath) ; Docker (--privileged, montage de docker.sock).</t>
  </si>
  <si>
    <t>Kubernetes / Docker</t>
  </si>
  <si>
    <t>SI un conteneur est créé en mode privilégié, avec hostPath sur / ou /var/run/docker.sock, hostPID ou hostNetwork, hors composants système connus → alerte haute.</t>
  </si>
  <si>
    <t>T1610 Deploy Container
T1611 Escape to Host</t>
  </si>
  <si>
    <t>DET-070</t>
  </si>
  <si>
    <t>Commande exécutée dans un conteneur de production</t>
  </si>
  <si>
    <t>Audit Kubernetes : sous-ressource pods/exec ; Docker : docker exec.</t>
  </si>
  <si>
    <t>SI un pods/exec ou docker exec est lancé sur un conteneur de production par un compte hors équipe d'exploitation, ou ouvre un shell interactif dans un conteneur applicatif → alerte moyenne.</t>
  </si>
  <si>
    <t>T1609 Container Administration Command</t>
  </si>
  <si>
    <t>DET-071</t>
  </si>
  <si>
    <t>Droits d'administration du cluster attribués</t>
  </si>
  <si>
    <t>Audit Kubernetes : création de (Cluster)RoleBinding et de rôles.</t>
  </si>
  <si>
    <t>SI un (Cluster)RoleBinding vers cluster-admin est créé, ou un rôle accorde tous les verbes ou ressources (*) hors processus de changement → alerte haute.</t>
  </si>
  <si>
    <t>DET-072</t>
  </si>
  <si>
    <t>Hyperviseur : accès d'administration puis arrêt ou suppression de machines</t>
  </si>
  <si>
    <t>Journaux de l'hyperviseur et de sa console : connexions d'administration, activation du SSH ou du shell, arrêt, suppression, snapshot de machines virtuelles.</t>
  </si>
  <si>
    <t>Hyperviseur (ESXi, Hyper-V)</t>
  </si>
  <si>
    <t>SI le shell ou le SSH est activé sur un hôte, ou une connexion d'administration vient d'une IP hors des postes d'administration, PUIS ≥ 5 machines virtuelles sont arrêtées ou supprimées en ≤ 1 h → critique.</t>
  </si>
  <si>
    <t>T1675 ESXi Administration Command
T1489 Service Stop</t>
  </si>
  <si>
    <t>DET-073</t>
  </si>
  <si>
    <t>Ransomware &amp; malware</t>
  </si>
  <si>
    <t>Suppression des copies de sauvegarde système</t>
  </si>
  <si>
    <t>SI vssadmin delete shadows, wmic shadowcopy delete, wbadmin delete catalog, bcdedit avec recoveryenabled no, ou une suppression des Win32_ShadowCopy par PowerShell → critique (précurseur de rançongiciel).</t>
  </si>
  <si>
    <t>T1490 Inhibit System Recovery</t>
  </si>
  <si>
    <t>DET-074</t>
  </si>
  <si>
    <t>Chiffrement massif de fichiers</t>
  </si>
  <si>
    <t>FIM temps réel, Sysmon 11 et 23 ou télémétrie EDR : fichiers créés, modifiés, renommés, supprimés.</t>
  </si>
  <si>
    <t>Intégrité des fichiers (FIM)
Windows – Sysmon
EDR / antivirus</t>
  </si>
  <si>
    <t>SI ≥ 100 fichiers sont modifiés ou renommés (nouvelle extension) en 60 s par un même processus ou hôte, OU une note de rançon (README, HOW_TO_DECRYPT…) apparaît dans ≥ 5 répertoires → critique.</t>
  </si>
  <si>
    <t>T1486 Data Encrypted for Impact</t>
  </si>
  <si>
    <t>DET-075</t>
  </si>
  <si>
    <t>Suppression des sauvegardes puis chiffrement (chaîne rançongiciel)</t>
  </si>
  <si>
    <t>Cas « Suppression des copies de sauvegarde système » et cas « Chiffrement massif de fichiers » sur le même hôte.</t>
  </si>
  <si>
    <t>Windows – Sysmon
Intégrité des fichiers (FIM)
EDR / antivirus</t>
  </si>
  <si>
    <t>SI la suppression des copies de sauvegarde est détectée PUIS un chiffrement massif sur le même hôte en ≤ 2 h → critique ; isoler l'hôte immédiatement.</t>
  </si>
  <si>
    <t>T1490 Inhibit System Recovery
T1486 Data Encrypted for Impact</t>
  </si>
  <si>
    <t>DET-076</t>
  </si>
  <si>
    <t>Sauvegardes supprimées ou désactivées</t>
  </si>
  <si>
    <t>Journal de la solution de sauvegarde : suppression de job ou de point de restauration, changement de rétention, désactivation, connexion administrateur.</t>
  </si>
  <si>
    <t>Sauvegarde</t>
  </si>
  <si>
    <t>SI un job est supprimé ou désactivé, la rétention réduite, des points de restauration supprimés ou les services de sauvegarde arrêtés hors maintenance → critique.</t>
  </si>
  <si>
    <t>T1490 Inhibit System Recovery
T1489 Service Stop</t>
  </si>
  <si>
    <t>DET-077</t>
  </si>
  <si>
    <t>Malware non traité puis connexion sortante</t>
  </si>
  <si>
    <t>Détection antivirus ou EDR (action : nettoyé, bloqué, autorisé, échec) ; flux sortants du même hôte.</t>
  </si>
  <si>
    <t>EDR / antivirus
Pare-feu</t>
  </si>
  <si>
    <t>SI une détection est suivie d'une action en échec ou « autorisée » PUIS d'une connexion sortante du même hôte vers une IP externe rare ou malveillante en ≤ 10 min → critique.</t>
  </si>
  <si>
    <t>T1204.002 Malicious File
T1071 Application Layer Protocol</t>
  </si>
  <si>
    <t>DET-078</t>
  </si>
  <si>
    <t>Exécution suspecte puis persistance sur le même poste</t>
  </si>
  <si>
    <t>Création de processus (Sysmon 1, 4688) ; service installé (7045, 4697) ; tâche planifiée (4698) ; clé Run (Sysmon 13).</t>
  </si>
  <si>
    <t>Windows – Sysmon
Windows – journal Security
Windows – System et Defender</t>
  </si>
  <si>
    <t>SI un processus s'exécute depuis un dossier temporaire, de téléchargements ou AppData PUIS une persistance (service, tâche planifiée, clé Run) est créée sur le même hôte en ≤ 30 min → alerte haute.</t>
  </si>
  <si>
    <t>T1547.001 Registry Run Keys / Startup Folder
T1053.005 Scheduled Task
T1543.003 Windows Service</t>
  </si>
  <si>
    <t>DET-079</t>
  </si>
  <si>
    <t>Santé du SOC</t>
  </si>
  <si>
    <t>Source de logs silencieuse</t>
  </si>
  <si>
    <t>Horodatage du dernier événement reçu par source et par agent.</t>
  </si>
  <si>
    <t>SIEM / XDR (santé)</t>
  </si>
  <si>
    <t>SI aucun événement n'arrive d'une source critique (contrôleur de domaine, pare-feu, serveur exposé) depuis &gt; 15 min, ou d'une autre source depuis &gt; 60 min → alerte moyenne ; haute pour une source critique.</t>
  </si>
  <si>
    <t>DET-080</t>
  </si>
  <si>
    <t>Agent ou collecteur arrêté</t>
  </si>
  <si>
    <t>État de l'agent (connecté, déconnecté, arrêté) et événement d'arrêt du service d'agent.</t>
  </si>
  <si>
    <t>SIEM / XDR (santé)
Windows – System et Defender</t>
  </si>
  <si>
    <t>SI un agent est déconnecté depuis &gt; 15 min, ou son service est arrêté par un compte, sur un serveur critique → alerte moyenne.</t>
  </si>
  <si>
    <t>DET-081</t>
  </si>
  <si>
    <t>Volume de logs anormal (chute ou pic)</t>
  </si>
  <si>
    <t>Nombre d'événements par source et par heure (EPS).</t>
  </si>
  <si>
    <t>SI le volume d'une source est &lt; 20 % ou &gt; 300 % de sa moyenne des mêmes heures sur 4 semaines → alerte moyenne (perte de collecte, saturation volontaire ou verbosité excessive).</t>
  </si>
  <si>
    <t>—</t>
  </si>
  <si>
    <t>DET-082</t>
  </si>
  <si>
    <t>Modification de la configuration du SIEM ou du XDR</t>
  </si>
  <si>
    <t>Journal d'audit du SIEM / XDR : règle désactivée ou modifiée, exclusion ajoutée, rétention changée, compte administrateur créé.</t>
  </si>
  <si>
    <t>SI une règle est désactivée ou modifiée, une exclusion ajoutée, la rétention réduite ou un compte administrateur créé hors changement approuvé → alerte haute.</t>
  </si>
  <si>
    <t>Catalogue de détection générique – SIEM / XDR</t>
  </si>
  <si>
    <t>v1.0 – 19/10/2026 – Référentiel indépendant du client et des technologies : les attaques les plus probables, les logs à collecter et la logique de règle à mettre en place.</t>
  </si>
  <si>
    <t>Principe</t>
  </si>
  <si>
    <t>Pour chaque attaque probable, le fichier donne : quoi détecter et dans quel domaine (feuille Detections), quels logs collecter et d'où (colonnes « Logs » et « Source », détaillées dans la feuille Sources_logs), et quelle logique de règle écrire. La logique est rédigée en langage courant : elle se traduit dans n'importe quel SIEM ou XDR (table plus bas).</t>
  </si>
  <si>
    <t>Utilisation en 5 étapes</t>
  </si>
  <si>
    <t>1. Filtrer</t>
  </si>
  <si>
    <t>Filtrer la colonne Domaine selon les technologies du client (Windows, Linux, web, cloud…). Écarter les lignes sans objet.</t>
  </si>
  <si>
    <t>2. Vérifier les logs</t>
  </si>
  <si>
    <t>Pour chaque ligne retenue, vérifier dans Sources_logs que la source est activée et collectée. Sinon le cas d'usage n'est pas détectable : le noter.</t>
  </si>
  <si>
    <t>3. Écrire la règle</t>
  </si>
  <si>
    <t>Traduire la logique dans l'outil du client (table plus bas). Commencer par les lignes Critique et Haute de type Simple, puis les Corrélations.</t>
  </si>
  <si>
    <t>4. Ajuster</t>
  </si>
  <si>
    <t>Les seuils, fenêtres et exclusions sont des points de départ : les ajuster après deux semaines d'observation.</t>
  </si>
  <si>
    <t>5. Tester sans risque</t>
  </si>
  <si>
    <t>Rejouer un événement simulé ou une ligne de log, jamais l'attaque réelle (ni force brute, ni effacement de journaux, ni suppression de sauvegardes).</t>
  </si>
  <si>
    <t>Lire la feuille Detections</t>
  </si>
  <si>
    <t>Simple : un événement suffit. Seuil : N événements (ou N valeurs distinctes) dans une fenêtre de temps. Corrélation : une séquence A puis B, ou le croisement de deux sources, pour le même compte, hôte ou IP.</t>
  </si>
  <si>
    <t>Critique : compromission probable, réponse immédiate. Haute : activité malveillante probable, traitement rapide. Moyenne : à investiguer. Basse : reconnaissance ou contexte, utile pour enrichir.</t>
  </si>
  <si>
    <t>SI … PUIS … → alerte. « PUIS » impose l'ordre des événements ; « ≥ N » signifie au moins N. Les exclusions à prévoir (comptes de service, scanners, outils de déploiement) sont citées dans le texte.</t>
  </si>
  <si>
    <t>Techniques de la version 19.2 de MITRE ATT&amp;CK, avec leur intitulé officiel.</t>
  </si>
  <si>
    <t>Traduire la logique dans votre SIEM / XDR</t>
  </si>
  <si>
    <t>Notion</t>
  </si>
  <si>
    <t>Wazuh</t>
  </si>
  <si>
    <t>Splunk</t>
  </si>
  <si>
    <t>Microsoft Sentinel / Defender XDR (KQL)</t>
  </si>
  <si>
    <t>Elastic Security</t>
  </si>
  <si>
    <t>Seuil : N événements en T</t>
  </si>
  <si>
    <t>Règle avec frequency et timeframe (same_source_ip, same_user)</t>
  </si>
  <si>
    <t>Recherche planifiée : stats count by … | where count &gt; N</t>
  </si>
  <si>
    <t>summarize count() by …, bin(TimeGenerated, T) | where count_ &gt; N</t>
  </si>
  <si>
    <t>Règle de type Threshold</t>
  </si>
  <si>
    <t>Corrélation : A puis B</t>
  </si>
  <si>
    <t>Règle fille avec if_matched_sid ou if_matched_group et timeframe</t>
  </si>
  <si>
    <t>transaction, ou stats sur la clé commune (compte, IP, hôte) dans la fenêtre</t>
  </si>
  <si>
    <t>join de deux requêtes dans une fenêtre de temps</t>
  </si>
  <si>
    <t>EQL : sequence by &lt;clé&gt; with maxspan=T [A] [B]</t>
  </si>
  <si>
    <t>Valeurs distinctes : ≥ N comptes, ports, hôtes</t>
  </si>
  <si>
    <t>different_field avec frequency</t>
  </si>
  <si>
    <t>stats dc(champ) by …</t>
  </si>
  <si>
    <t>summarize dcount(champ) by …</t>
  </si>
  <si>
    <t>Threshold avec condition de cardinalité</t>
  </si>
  <si>
    <t>Liste de référence : comptes admin, IOC, serveurs</t>
  </si>
  <si>
    <t>Liste CDB (&lt;list&gt;)</t>
  </si>
  <si>
    <t>Lookup</t>
  </si>
  <si>
    <t>Watchlist</t>
  </si>
  <si>
    <t>Value list, ou règle Indicator Match</t>
  </si>
  <si>
    <t>Pour un autre XDR, reprendre la même logique dans le langage de règles personnalisées de l'outil. Les listes de référence (comptes d'administration habilités, serveurs, adresses malveillantes) évitent d'écrire des valeurs en dur dans les règles.</t>
  </si>
  <si>
    <t>Domaines couverts</t>
  </si>
  <si>
    <t>Cas d'usage</t>
  </si>
  <si>
    <t>dont Simple</t>
  </si>
  <si>
    <t>dont Seuil</t>
  </si>
  <si>
    <t>dont Corrélation</t>
  </si>
  <si>
    <t>Total</t>
  </si>
  <si>
    <t>À activer / à collecter</t>
  </si>
  <si>
    <t>Événements ou champs clés</t>
  </si>
  <si>
    <t>Piège fréquent</t>
  </si>
  <si>
    <t>Cas d'usage servis</t>
  </si>
  <si>
    <t>Audit avancé sur les contrôleurs : Account Logon (Kerberos, NTLM), Account Management, DS Access (accès et modifications de l'annuaire), Policy Change. Collecter TOUS les contrôleurs de domaine.</t>
  </si>
  <si>
    <t>4624, 4625, 4662, 4720, 4728, 4729, 4732, 4733, 4739, 4740, 4756, 4768, 4769, 4771, 4776, 5136, 5137, 5141</t>
  </si>
  <si>
    <t>Chaque événement n'existe que sur le contrôleur qui traite la requête : en oublier un crée un angle mort. Le 4662 n'apparaît que si un audit (SACL) est posé sur l'objet domaine.</t>
  </si>
  <si>
    <t>Windows – journal Security</t>
  </si>
  <si>
    <t>Sur les serveurs et les postes, audit avancé : Logon / Logoff, Account Management, Process Creation avec ligne de commande (GPO « Inclure la ligne de commande dans les événements de création de processus »), Detailed File Share, Other Object Access (tâches planifiées), Security System Extension (services).</t>
  </si>
  <si>
    <t>1102, 4624, 4625, 4672, 4688, 4697, 4698, 4720, 4728, 4732, 4756, 4778, 4779, 5145</t>
  </si>
  <si>
    <t>La ligne de commande du 4688 est absente sans la GPO dédiée. Le 5145 est très volumineux et certains agents le filtrent par défaut : vérifier la liste d'exclusion.</t>
  </si>
  <si>
    <t>Windows – Sysmon</t>
  </si>
  <si>
    <t>Installer Sysmon avec une configuration éprouvée (configuration communautaire à adapter), puis collecter le canal Microsoft-Windows-Sysmon/Operational.</t>
  </si>
  <si>
    <t>1 (processus), 10 (accès à un processus), 11 (création de fichier), 13 (valeur de registre), 23 (suppression de fichier)</t>
  </si>
  <si>
    <t>Absent par défaut ; sans configuration le volume explose. Filtrer l'événement 10 sur la cible lsass.exe.</t>
  </si>
  <si>
    <t>Windows – PowerShell</t>
  </si>
  <si>
    <t>Activer la journalisation des blocs de script (GPO « Turn on PowerShell Script Block Logging ») et collecter le canal Microsoft-Windows-PowerShell/Operational.</t>
  </si>
  <si>
    <t>4104 (bloc de script), 4103 (module)</t>
  </si>
  <si>
    <t>Désactivée par défaut. Le journal peut contenir des secrets en clair : en restreindre l'accès. PowerShell 2.0 n'est pas journalisé : le retirer des postes.</t>
  </si>
  <si>
    <t>Windows – System et Defender</t>
  </si>
  <si>
    <t>Collecter les canaux System et Microsoft-Windows-Windows Defender/Operational.</t>
  </si>
  <si>
    <t>System : 104, 7036, 7045 ; Defender : 1116, 1117, 5001, 5007</t>
  </si>
  <si>
    <t>Les événements Defender n'existent que si Defender est l'antivirus actif ; sinon utiliser les alertes de l'EDR ou de l'antivirus en place.</t>
  </si>
  <si>
    <t>SSO / fournisseur d'identité</t>
  </si>
  <si>
    <t>Journaliser chaque authentification du SSO, du LDAP ou de l'IAM (résultat, compte, IP source, application, facteur MFA) et les actions d'administration ; export syslog ou API vers le SIEM.</t>
  </si>
  <si>
    <t>Succès, échec, verrouillage, MFA demandé ou refusé, changement de mot de passe, ajout à un groupe</t>
  </si>
  <si>
    <t>Vérifier le fuseau horaire et que l'IP source est bien celle du client (et non celle d'un proxy ou de l'IdP).</t>
  </si>
  <si>
    <t>Collecter /var/log/auth.log (Debian, Ubuntu) ou /var/log/secure (RHEL et dérivés) ; activer auditd avec des règles sur execve, les fichiers d'authentification et les changements de comptes.</t>
  </si>
  <si>
    <t>sshd (Failed, Accepted), sudo (COMMAND=, authentication failure), su, useradd, usermod, auditd EXECVE et SYSCALL</t>
  </si>
  <si>
    <t>auditd n'a pas de règles utiles par défaut. Sans l'audit de execve, la ligne de commande des processus n'est pas disponible.</t>
  </si>
  <si>
    <t>Surveiller en temps réel les répertoires sensibles : racine web, /etc, ~/.ssh, cron et systemd (Linux), dossiers de démarrage et partages (Windows).</t>
  </si>
  <si>
    <t>Création, modification, suppression ; hash avant et après ; utilisateur et processus si disponibles</t>
  </si>
  <si>
    <t>Beaucoup d'agents n'analysent qu'à intervalle fixe (souvent plusieurs heures) : passer en temps réel pour détecter webshells et chiffrement.</t>
  </si>
  <si>
    <t>Serveur web (IIS, Apache, Nginx)</t>
  </si>
  <si>
    <t>Collecter les journaux d'accès et d'erreur (IIS au format W3C, Apache, Nginx, Tomcat) avec IP source, méthode, URI et paramètres, code HTTP, taille, User-Agent, X-Forwarded-For.</t>
  </si>
  <si>
    <t>Code HTTP, URI, paramètres, User-Agent, taille de la réponse</t>
  </si>
  <si>
    <t>Derrière un reverse proxy ou un WAF, l'IP vue est celle du proxy : journaliser X-Forwarded-For. Le corps des requêtes POST n'est pas journalisé.</t>
  </si>
  <si>
    <t>WAF / reverse proxy</t>
  </si>
  <si>
    <t>Envoyer les journaux du WAF : décision (bloquer, autoriser), règle déclenchée, URI, IP source.</t>
  </si>
  <si>
    <t>Action, identifiant de règle, URI, IP source, pays</t>
  </si>
  <si>
    <t>En mode détection seule, aucune requête n'est bloquée : le journal indique l'intention, pas l'effet. Volume élevé en JSON.</t>
  </si>
  <si>
    <t>Application métier / API</t>
  </si>
  <si>
    <t>Journaliser authentifications, accès aux objets (identifiant, résultat) et actions sensibles dans un format structuré (JSON), avec compte, IP source et identifiant de session.</t>
  </si>
  <si>
    <t>Compte, action, objet, résultat, IP source</t>
  </si>
  <si>
    <t>Les formats libres imposent un travail de normalisation avant d'écrire la moindre règle.</t>
  </si>
  <si>
    <t>Journaliser tous les flux (autorisés et refusés), les événements IPS / UTM et le journal d'administration (connexions, changements de configuration) ; envoi syslog vers le collecteur.</t>
  </si>
  <si>
    <t>IP et port source et destination, action, règle, octets ; connexions d'administration ; modifications de configuration</t>
  </si>
  <si>
    <t>Beaucoup de pare-feu ne journalisent pas les flux autorisés par défaut. Vérifier le transport accepté par le SIEM (UDP, TCP, TLS).</t>
  </si>
  <si>
    <t>Journaliser chaque tentative (succès et échec) : compte, IP source, résultat, durée, facteur MFA.</t>
  </si>
  <si>
    <t>Compte, IP source, pays, résultat, début et fin de session</t>
  </si>
  <si>
    <t>Sans géolocalisation de l'IP source, les règles de provenance inhabituelle sont inopérantes.</t>
  </si>
  <si>
    <t>Proxy web</t>
  </si>
  <si>
    <t>Journaliser chaque requête du proxy ou du filtrage URL : utilisateur, URL, catégorie, méthode, octets envoyés et reçus, action.</t>
  </si>
  <si>
    <t>URL, domaine, catégorie, octets sortants, utilisateur</t>
  </si>
  <si>
    <t>Le trafic HTTPS non déchiffré ne montre que le domaine, pas l'URL complète.</t>
  </si>
  <si>
    <t>Activer la journalisation des requêtes sur le résolveur ou le serveur DNS (journal des requêtes).</t>
  </si>
  <si>
    <t>Client, nom demandé, type (A, TXT), code de réponse (NXDOMAIN)</t>
  </si>
  <si>
    <t>Désactivée par défaut et volumineuse. Si les postes utilisent un DNS public, le journal interne est vide.</t>
  </si>
  <si>
    <t>IDS / IPS</t>
  </si>
  <si>
    <t>Envoyer les alertes avec signature, gravité, source, destination et action (bloqué ou autorisé).</t>
  </si>
  <si>
    <t>Signature, gravité, action, IP source et destination</t>
  </si>
  <si>
    <t>Une alerte non bloquée est plus grave qu'une alerte bloquée : l'action doit figurer dans le journal.</t>
  </si>
  <si>
    <t>Routeurs et commutateurs</t>
  </si>
  <si>
    <t>Envoyer le syslog des routeurs et commutateurs (équipements réseau) au niveau informationnel, et journaliser les commandes d'administration (AAA).</t>
  </si>
  <si>
    <t>Connexions d'administration, changements de configuration, état des interfaces</t>
  </si>
  <si>
    <t>Le niveau de journalisation par défaut omet souvent les changements de configuration.</t>
  </si>
  <si>
    <t>Activer et collecter le journal d'audit unifié, les journaux de connexion et d'audit de l'annuaire cloud (Entra ID, Google Workspace), généralement par API.</t>
  </si>
  <si>
    <t>Connexions (IP, pays, risque, résultat MFA), New-InboxRule, Set-InboxRule, Set-Mailbox, Add member to role, Consent to application, Add-MailboxPermission, enregistrement de méthode MFA</t>
  </si>
  <si>
    <t>L'audit doit être activé et vérifié ; les événements de risque dépendent de la licence ; les événements arrivent avec un délai de quelques minutes à plusieurs heures.</t>
  </si>
  <si>
    <t>Passerelle de messagerie</t>
  </si>
  <si>
    <t>Exporter les verdicts de la passerelle anti-spam / anti-phishing (livré, bloqué, mis en quarantaine, rappelé) et les clics sur les URL réécrites.</t>
  </si>
  <si>
    <t>Expéditeur, destinataires, verdict, URL, clic (utilisateur, heure)</t>
  </si>
  <si>
    <t>Sans les clics, on sait ce qui est livré mais pas ce qui est exécuté.</t>
  </si>
  <si>
    <t>Activer l'audit des API pour tous les comptes et toutes les régions (AWS CloudTrail, Azure Activity Log avec diagnostic settings, GCP Cloud Audit Logs) et le centraliser.</t>
  </si>
  <si>
    <t>ConsoleLogin, CreateAccessKey, StopLogging, DeleteTrail, AttachUserPolicy, roleAssignments/write, SetIamPolicy, PutBucketPolicy, AuthorizeSecurityGroupIngress</t>
  </si>
  <si>
    <t>Les événements sur les données (lecture d'objets) sont désactivés par défaut et payants ; un compte ou une région oubliés est un angle mort.</t>
  </si>
  <si>
    <t>Cloud – flux réseau et stockage</t>
  </si>
  <si>
    <t>Activer les journaux de flux réseau (VPC, NSG) et les journaux d'accès au stockage (lecture d'objets).</t>
  </si>
  <si>
    <t>GetObject, ListBucket, volumes, IP source ; flux accepté ou refusé</t>
  </si>
  <si>
    <t>Désactivés par défaut, avec un coût proportionnel au volume : cibler les stockages sensibles.</t>
  </si>
  <si>
    <t>Activer l'audit natif (SQL Server Audit, Oracle Unified Audit, pgaudit pour PostgreSQL, plugin d'audit MySQL) pour connexions, DDL, GRANT et accès aux tables sensibles.</t>
  </si>
  <si>
    <t>Connexion réussie ou échouée (SQL Server 18456), GRANT, CREATE USER, sp_configure, requêtes sur tables sensibles</t>
  </si>
  <si>
    <t>Désactivé par défaut et coûteux en performances : auditer les objets sensibles, pas toute la base.</t>
  </si>
  <si>
    <t>Poser un audit (SACL) sur les dossiers sensibles et activer l'audit d'accès aux fichiers ; ou activer l'audit natif du NAS.</t>
  </si>
  <si>
    <t>4663 (accès à un objet : lecture, écriture, suppression)</t>
  </si>
  <si>
    <t>Volume très élevé : limiter l'audit aux dossiers classés et aux opérations utiles.</t>
  </si>
  <si>
    <t>EDR / antivirus</t>
  </si>
  <si>
    <t>Collecter les alertes, les actions (nettoyé, bloqué, autorisé), la télémétrie de processus et l'état de l'agent.</t>
  </si>
  <si>
    <t>Détection (nom, hash, chemin, action), tentative d'altération, arrêt de l'agent</t>
  </si>
  <si>
    <t>Ne pas filtrer les détections « autorisées » ou « quarantaine échouée » : ce sont les cas les plus graves.</t>
  </si>
  <si>
    <t>Exporter le journal d'activité de la solution de sauvegarde et de ses consoles d'administration.</t>
  </si>
  <si>
    <t>Suppression de job ou de point de restauration, changement de rétention, échecs en série, connexion administrateur</t>
  </si>
  <si>
    <t>La console de sauvegarde est souvent hors du périmètre supervisé alors que c'est une cible prioritaire des rançongiciels.</t>
  </si>
  <si>
    <t>Activer l'audit de l'API Kubernetes (politique d'audit) ou le journal d'audit du service managé ; collecter les événements runtime et les journaux du démon Docker.</t>
  </si>
  <si>
    <t>Création de pod, pods/exec, (Cluster)RoleBinding, requêtes anonymes, docker exec et docker run</t>
  </si>
  <si>
    <t>L'audit Kubernetes n'est pas actif par défaut sur un cluster auto-géré ; sur un service managé, activer le type de journal d'audit.</t>
  </si>
  <si>
    <t>Envoyer en syslog les journaux de l'hyperviseur (ESXi, Hyper-V…) et de sa console d'administration (vCenter…).</t>
  </si>
  <si>
    <t>Connexions d'administration, activation du SSH ou du shell, création, arrêt, suppression de machine virtuelle, snapshots</t>
  </si>
  <si>
    <t>Les hyperviseurs sont rarement équipés d'un agent : sans syslog, une attaque sur l'hyperviseur est invisible.</t>
  </si>
  <si>
    <t>Superviser le dernier événement reçu par source, l'état des agents, le volume (EPS) par source et les actions d'administration du SIEM / XDR.</t>
  </si>
  <si>
    <t>Dernier événement par source, agent déconnecté, volume par source, modification de règle</t>
  </si>
  <si>
    <t>Le SOC ne voit pas ce qu'il ne reçoit plus : sans ces règles, une source muette passe inaperçue.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</si>
</sst>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5"/>
      <color rgb="FFFFFFFF"/>
      <name val="Calibri"/>
    </font>
    <font>
      <sz val="10"/>
      <name val="Calibri"/>
    </font>
    <font>
      <b/>
      <sz val="10"/>
      <name val="Calibri"/>
    </font>
    <font>
      <b/>
      <sz val="10"/>
      <color rgb="FF1F3A5F"/>
      <name val="Calibri"/>
    </font>
    <font>
      <b/>
      <sz val="10"/>
      <color rgb="FFC55A11"/>
      <name val="Calibri"/>
    </font>
    <font>
      <b/>
      <sz val="10"/>
      <color rgb="FF7F6000"/>
      <name val="Calibri"/>
    </font>
    <font>
      <b/>
      <sz val="10"/>
      <color rgb="FF9C0006"/>
      <name val="Calibri"/>
    </font>
    <font>
      <b/>
      <sz val="10"/>
      <color rgb="FF595959"/>
      <name val="Calibri"/>
    </font>
    <font>
      <b/>
      <sz val="18"/>
      <color rgb="FF1F3A5F"/>
      <name val="Calibri"/>
    </font>
    <font>
      <i/>
      <sz val="10"/>
      <color rgb="FF595959"/>
      <name val="Calibri"/>
    </font>
    <font>
      <b/>
      <sz val="11.5"/>
      <color rgb="FFFFFFFF"/>
      <name val="Calibri"/>
    </font>
  </fonts>
  <fills count="16">
    <fill>
      <patternFill patternType="none"/>
    </fill>
    <fill>
      <patternFill patternType="gray125"/>
    </fill>
    <fill>
      <patternFill patternType="solid">
        <fgColor rgb="FF1F3A5F"/>
        <bgColor rgb="FF1F3A5F"/>
      </patternFill>
    </fill>
    <fill>
      <patternFill patternType="solid">
        <fgColor rgb="FFDCE6F1"/>
        <bgColor rgb="FFDCE6F1"/>
      </patternFill>
    </fill>
    <fill>
      <patternFill patternType="solid">
        <fgColor rgb="FFFCE4D6"/>
        <bgColor rgb="FFFCE4D6"/>
      </patternFill>
    </fill>
    <fill>
      <patternFill patternType="solid">
        <fgColor rgb="FFFFF2CC"/>
        <bgColor rgb="FFFFF2CC"/>
      </patternFill>
    </fill>
    <fill>
      <patternFill patternType="solid">
        <fgColor rgb="FFF8D7DA"/>
        <bgColor rgb="FFF8D7DA"/>
      </patternFill>
    </fill>
    <fill>
      <patternFill patternType="solid">
        <fgColor rgb="FFE2EFDA"/>
        <bgColor rgb="FFE2EFDA"/>
      </patternFill>
    </fill>
    <fill>
      <patternFill patternType="solid">
        <fgColor rgb="FFEDEDED"/>
        <bgColor rgb="FFEDEDED"/>
      </patternFill>
    </fill>
    <fill>
      <patternFill patternType="solid">
        <fgColor rgb="FFE4DFEC"/>
        <bgColor rgb="FFE4DFEC"/>
      </patternFill>
    </fill>
    <fill>
      <patternFill patternType="solid">
        <fgColor rgb="FFDDEBF7"/>
        <bgColor rgb="FFDDEBF7"/>
      </patternFill>
    </fill>
    <fill>
      <patternFill patternType="solid">
        <fgColor rgb="FFEAF1DD"/>
        <bgColor rgb="FFEAF1DD"/>
      </patternFill>
    </fill>
    <fill>
      <patternFill patternType="solid">
        <fgColor rgb="FFD0E0E3"/>
        <bgColor rgb="FFD0E0E3"/>
      </patternFill>
    </fill>
    <fill>
      <patternFill patternType="solid">
        <fgColor rgb="FFF4CCCC"/>
        <bgColor rgb="FFF4CCCC"/>
      </patternFill>
    </fill>
    <fill>
      <patternFill patternType="solid">
        <fgColor rgb="FFE7E6E6"/>
        <bgColor rgb="FFE7E6E6"/>
      </patternFill>
    </fill>
    <fill>
      <patternFill patternType="solid">
        <fgColor rgb="FFF2F2F2"/>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3" fillId="0" borderId="0" xfId="0" applyFont="1" applyAlignment="1">
      <alignment vertical="top"/>
    </xf>
    <xf numFmtId="0" fontId="1" fillId="2" borderId="1" xfId="0" applyFont="1" applyFill="1" applyBorder="1" applyAlignment="1">
      <alignment horizontal="left"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horizontal="left" vertical="center"/>
    </xf>
    <xf numFmtId="0" fontId="2" fillId="0" borderId="1" xfId="0" applyFont="1" applyBorder="1" applyAlignment="1">
      <alignment horizontal="center" vertical="center"/>
    </xf>
    <xf numFmtId="0" fontId="3" fillId="7" borderId="1" xfId="0" applyFont="1" applyFill="1" applyBorder="1" applyAlignment="1">
      <alignment horizontal="left" vertical="center"/>
    </xf>
    <xf numFmtId="0" fontId="3" fillId="5" borderId="1" xfId="0" applyFont="1" applyFill="1" applyBorder="1" applyAlignment="1">
      <alignment horizontal="left" vertical="center"/>
    </xf>
    <xf numFmtId="0" fontId="3" fillId="4" borderId="1" xfId="0" applyFont="1" applyFill="1" applyBorder="1" applyAlignment="1">
      <alignment horizontal="left" vertical="center"/>
    </xf>
    <xf numFmtId="0" fontId="3"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10" borderId="1" xfId="0" applyFont="1" applyFill="1" applyBorder="1" applyAlignment="1">
      <alignment horizontal="left" vertical="center"/>
    </xf>
    <xf numFmtId="0" fontId="3" fillId="11" borderId="1" xfId="0" applyFont="1" applyFill="1" applyBorder="1" applyAlignment="1">
      <alignment horizontal="left" vertical="center"/>
    </xf>
    <xf numFmtId="0" fontId="3" fillId="12" borderId="1" xfId="0" applyFont="1" applyFill="1" applyBorder="1" applyAlignment="1">
      <alignment horizontal="left" vertical="center"/>
    </xf>
    <xf numFmtId="0" fontId="3" fillId="13" borderId="1" xfId="0" applyFont="1" applyFill="1" applyBorder="1" applyAlignment="1">
      <alignment horizontal="left" vertical="center"/>
    </xf>
    <xf numFmtId="0" fontId="3" fillId="14" borderId="1" xfId="0" applyFont="1" applyFill="1" applyBorder="1" applyAlignment="1">
      <alignment horizontal="left" vertical="center"/>
    </xf>
    <xf numFmtId="0" fontId="3" fillId="15" borderId="1" xfId="0" applyFont="1" applyFill="1" applyBorder="1" applyAlignment="1">
      <alignment horizontal="left" vertical="center"/>
    </xf>
    <xf numFmtId="0" fontId="3" fillId="15" borderId="1" xfId="0" applyFont="1" applyFill="1" applyBorder="1" applyAlignment="1">
      <alignment horizontal="center" vertical="center"/>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4" fillId="0" borderId="1" xfId="0" applyFont="1" applyBorder="1" applyAlignment="1">
      <alignment horizontal="center" vertical="top" wrapText="1"/>
    </xf>
    <xf numFmtId="0" fontId="5" fillId="4" borderId="1" xfId="0" applyFont="1" applyFill="1" applyBorder="1" applyAlignment="1">
      <alignment horizontal="center" vertical="top" wrapText="1"/>
    </xf>
    <xf numFmtId="0" fontId="2" fillId="0" borderId="1" xfId="0" applyFont="1" applyBorder="1" applyAlignment="1">
      <alignment horizontal="center" vertical="top" wrapText="1"/>
    </xf>
    <xf numFmtId="0" fontId="6"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8" fillId="8" borderId="1" xfId="0" applyFont="1" applyFill="1" applyBorder="1" applyAlignment="1">
      <alignment horizontal="center"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xf numFmtId="0" fontId="3" fillId="9" borderId="1" xfId="0" applyFont="1" applyFill="1" applyBorder="1" applyAlignment="1">
      <alignment vertical="top" wrapText="1"/>
    </xf>
    <xf numFmtId="0" fontId="2" fillId="9" borderId="1" xfId="0" applyFont="1" applyFill="1" applyBorder="1" applyAlignment="1">
      <alignment vertical="top" wrapText="1"/>
    </xf>
    <xf numFmtId="0" fontId="3" fillId="10" borderId="1" xfId="0" applyFont="1" applyFill="1" applyBorder="1" applyAlignment="1">
      <alignment vertical="top" wrapText="1"/>
    </xf>
    <xf numFmtId="0" fontId="2" fillId="10" borderId="1" xfId="0" applyFont="1" applyFill="1" applyBorder="1" applyAlignment="1">
      <alignment vertical="top" wrapText="1"/>
    </xf>
    <xf numFmtId="0" fontId="3" fillId="11" borderId="1" xfId="0" applyFont="1" applyFill="1" applyBorder="1" applyAlignment="1">
      <alignment vertical="top" wrapText="1"/>
    </xf>
    <xf numFmtId="0" fontId="2" fillId="11" borderId="1" xfId="0" applyFont="1" applyFill="1" applyBorder="1" applyAlignment="1">
      <alignment vertical="top" wrapText="1"/>
    </xf>
    <xf numFmtId="0" fontId="3" fillId="12" borderId="1" xfId="0" applyFont="1" applyFill="1" applyBorder="1" applyAlignment="1">
      <alignment vertical="top" wrapText="1"/>
    </xf>
    <xf numFmtId="0" fontId="2" fillId="12" borderId="1" xfId="0" applyFont="1" applyFill="1" applyBorder="1" applyAlignment="1">
      <alignment vertical="top" wrapText="1"/>
    </xf>
    <xf numFmtId="0" fontId="3" fillId="13" borderId="1" xfId="0" applyFont="1" applyFill="1" applyBorder="1" applyAlignment="1">
      <alignment vertical="top" wrapText="1"/>
    </xf>
    <xf numFmtId="0" fontId="2" fillId="13" borderId="1" xfId="0" applyFont="1" applyFill="1" applyBorder="1" applyAlignment="1">
      <alignment vertical="top" wrapText="1"/>
    </xf>
    <xf numFmtId="0" fontId="3" fillId="14" borderId="1" xfId="0" applyFont="1" applyFill="1" applyBorder="1" applyAlignment="1">
      <alignment vertical="top" wrapText="1"/>
    </xf>
    <xf numFmtId="0" fontId="2" fillId="14" borderId="1" xfId="0" applyFont="1" applyFill="1" applyBorder="1" applyAlignment="1">
      <alignment vertical="top" wrapText="1"/>
    </xf>
    <xf numFmtId="0" fontId="3" fillId="0" borderId="1" xfId="0" applyFont="1" applyBorder="1" applyAlignment="1">
      <alignment horizontal="center" vertical="top" wrapText="1"/>
    </xf>
    <xf numFmtId="0" fontId="2" fillId="0" borderId="0" xfId="0" applyFont="1" applyAlignment="1">
      <alignment vertical="top" wrapText="1"/>
    </xf>
    <xf numFmtId="0" fontId="0" fillId="0" borderId="0" xfId="0"/>
    <xf numFmtId="0" fontId="11" fillId="2" borderId="0" xfId="0" applyFont="1" applyFill="1" applyAlignment="1">
      <alignment vertical="center"/>
    </xf>
    <xf numFmtId="0" fontId="0" fillId="2" borderId="0" xfId="0" applyFill="1"/>
    <xf numFmtId="0" fontId="10" fillId="0" borderId="0" xfId="0" applyFont="1" applyAlignment="1">
      <alignment vertical="top" wrapText="1"/>
    </xf>
    <xf numFmtId="0" fontId="9"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1"/>
  <sheetViews>
    <sheetView showGridLines="0" zoomScale="95" workbookViewId="0"/>
  </sheetViews>
  <sheetFormatPr baseColWidth="10" defaultColWidth="8.88671875" defaultRowHeight="14.4" x14ac:dyDescent="0.3"/>
  <cols>
    <col min="1" max="1" width="30" customWidth="1"/>
    <col min="2" max="3" width="36" customWidth="1"/>
    <col min="4" max="4" width="40" customWidth="1"/>
    <col min="5" max="5" width="36" customWidth="1"/>
  </cols>
  <sheetData>
    <row r="1" spans="1:5" ht="30" customHeight="1" x14ac:dyDescent="0.3">
      <c r="A1" s="53" t="s">
        <v>483</v>
      </c>
      <c r="B1" s="49"/>
      <c r="C1" s="49"/>
      <c r="D1" s="49"/>
      <c r="E1" s="49"/>
    </row>
    <row r="2" spans="1:5" ht="19.2" customHeight="1" x14ac:dyDescent="0.3">
      <c r="A2" s="52" t="s">
        <v>484</v>
      </c>
      <c r="B2" s="49"/>
      <c r="C2" s="49"/>
      <c r="D2" s="49"/>
      <c r="E2" s="49"/>
    </row>
    <row r="4" spans="1:5" ht="22.05" customHeight="1" x14ac:dyDescent="0.3">
      <c r="A4" s="50" t="s">
        <v>485</v>
      </c>
      <c r="B4" s="51"/>
      <c r="C4" s="51"/>
      <c r="D4" s="51"/>
      <c r="E4" s="51"/>
    </row>
    <row r="5" spans="1:5" ht="32.4" customHeight="1" x14ac:dyDescent="0.3">
      <c r="A5" s="48" t="s">
        <v>486</v>
      </c>
      <c r="B5" s="49"/>
      <c r="C5" s="49"/>
      <c r="D5" s="49"/>
      <c r="E5" s="49"/>
    </row>
    <row r="7" spans="1:5" ht="22.05" customHeight="1" x14ac:dyDescent="0.3">
      <c r="A7" s="50" t="s">
        <v>487</v>
      </c>
      <c r="B7" s="51"/>
      <c r="C7" s="51"/>
      <c r="D7" s="51"/>
      <c r="E7" s="51"/>
    </row>
    <row r="8" spans="1:5" ht="19.2" customHeight="1" x14ac:dyDescent="0.3">
      <c r="A8" s="1" t="s">
        <v>488</v>
      </c>
      <c r="B8" s="48" t="s">
        <v>489</v>
      </c>
      <c r="C8" s="49"/>
      <c r="D8" s="49"/>
      <c r="E8" s="49"/>
    </row>
    <row r="9" spans="1:5" ht="19.2" customHeight="1" x14ac:dyDescent="0.3">
      <c r="A9" s="1" t="s">
        <v>490</v>
      </c>
      <c r="B9" s="48" t="s">
        <v>491</v>
      </c>
      <c r="C9" s="49"/>
      <c r="D9" s="49"/>
      <c r="E9" s="49"/>
    </row>
    <row r="10" spans="1:5" ht="19.2" customHeight="1" x14ac:dyDescent="0.3">
      <c r="A10" s="1" t="s">
        <v>492</v>
      </c>
      <c r="B10" s="48" t="s">
        <v>493</v>
      </c>
      <c r="C10" s="49"/>
      <c r="D10" s="49"/>
      <c r="E10" s="49"/>
    </row>
    <row r="11" spans="1:5" ht="19.2" customHeight="1" x14ac:dyDescent="0.3">
      <c r="A11" s="1" t="s">
        <v>494</v>
      </c>
      <c r="B11" s="48" t="s">
        <v>495</v>
      </c>
      <c r="C11" s="49"/>
      <c r="D11" s="49"/>
      <c r="E11" s="49"/>
    </row>
    <row r="12" spans="1:5" ht="19.2" customHeight="1" x14ac:dyDescent="0.3">
      <c r="A12" s="1" t="s">
        <v>496</v>
      </c>
      <c r="B12" s="48" t="s">
        <v>497</v>
      </c>
      <c r="C12" s="49"/>
      <c r="D12" s="49"/>
      <c r="E12" s="49"/>
    </row>
    <row r="14" spans="1:5" ht="22.05" customHeight="1" x14ac:dyDescent="0.3">
      <c r="A14" s="50" t="s">
        <v>498</v>
      </c>
      <c r="B14" s="51"/>
      <c r="C14" s="51"/>
      <c r="D14" s="51"/>
      <c r="E14" s="51"/>
    </row>
    <row r="15" spans="1:5" ht="32.4" customHeight="1" x14ac:dyDescent="0.3">
      <c r="A15" s="1" t="s">
        <v>3</v>
      </c>
      <c r="B15" s="48" t="s">
        <v>499</v>
      </c>
      <c r="C15" s="49"/>
      <c r="D15" s="49"/>
      <c r="E15" s="49"/>
    </row>
    <row r="16" spans="1:5" ht="32.4" customHeight="1" x14ac:dyDescent="0.3">
      <c r="A16" s="1" t="s">
        <v>7</v>
      </c>
      <c r="B16" s="48" t="s">
        <v>500</v>
      </c>
      <c r="C16" s="49"/>
      <c r="D16" s="49"/>
      <c r="E16" s="49"/>
    </row>
    <row r="17" spans="1:5" ht="32.4" customHeight="1" x14ac:dyDescent="0.3">
      <c r="A17" s="1" t="s">
        <v>6</v>
      </c>
      <c r="B17" s="48" t="s">
        <v>501</v>
      </c>
      <c r="C17" s="49"/>
      <c r="D17" s="49"/>
      <c r="E17" s="49"/>
    </row>
    <row r="18" spans="1:5" ht="19.2" customHeight="1" x14ac:dyDescent="0.3">
      <c r="A18" s="1" t="s">
        <v>8</v>
      </c>
      <c r="B18" s="48" t="s">
        <v>502</v>
      </c>
      <c r="C18" s="49"/>
      <c r="D18" s="49"/>
      <c r="E18" s="49"/>
    </row>
    <row r="20" spans="1:5" ht="22.05" customHeight="1" x14ac:dyDescent="0.3">
      <c r="A20" s="50" t="s">
        <v>503</v>
      </c>
      <c r="B20" s="51"/>
      <c r="C20" s="51"/>
      <c r="D20" s="51"/>
      <c r="E20" s="51"/>
    </row>
    <row r="21" spans="1:5" ht="30" customHeight="1" x14ac:dyDescent="0.3">
      <c r="A21" s="2" t="s">
        <v>504</v>
      </c>
      <c r="B21" s="2" t="s">
        <v>505</v>
      </c>
      <c r="C21" s="2" t="s">
        <v>506</v>
      </c>
      <c r="D21" s="2" t="s">
        <v>507</v>
      </c>
      <c r="E21" s="2" t="s">
        <v>508</v>
      </c>
    </row>
    <row r="22" spans="1:5" ht="30.75" customHeight="1" x14ac:dyDescent="0.3">
      <c r="A22" s="3" t="s">
        <v>509</v>
      </c>
      <c r="B22" s="4" t="s">
        <v>510</v>
      </c>
      <c r="C22" s="4" t="s">
        <v>511</v>
      </c>
      <c r="D22" s="4" t="s">
        <v>512</v>
      </c>
      <c r="E22" s="4" t="s">
        <v>513</v>
      </c>
    </row>
    <row r="23" spans="1:5" ht="30.75" customHeight="1" x14ac:dyDescent="0.3">
      <c r="A23" s="3" t="s">
        <v>514</v>
      </c>
      <c r="B23" s="4" t="s">
        <v>515</v>
      </c>
      <c r="C23" s="4" t="s">
        <v>516</v>
      </c>
      <c r="D23" s="4" t="s">
        <v>517</v>
      </c>
      <c r="E23" s="4" t="s">
        <v>518</v>
      </c>
    </row>
    <row r="24" spans="1:5" ht="30.75" customHeight="1" x14ac:dyDescent="0.3">
      <c r="A24" s="3" t="s">
        <v>519</v>
      </c>
      <c r="B24" s="4" t="s">
        <v>520</v>
      </c>
      <c r="C24" s="4" t="s">
        <v>521</v>
      </c>
      <c r="D24" s="4" t="s">
        <v>522</v>
      </c>
      <c r="E24" s="4" t="s">
        <v>523</v>
      </c>
    </row>
    <row r="25" spans="1:5" ht="30.75" customHeight="1" x14ac:dyDescent="0.3">
      <c r="A25" s="3" t="s">
        <v>524</v>
      </c>
      <c r="B25" s="4" t="s">
        <v>525</v>
      </c>
      <c r="C25" s="4" t="s">
        <v>526</v>
      </c>
      <c r="D25" s="4" t="s">
        <v>527</v>
      </c>
      <c r="E25" s="4" t="s">
        <v>528</v>
      </c>
    </row>
    <row r="26" spans="1:5" ht="32.4" customHeight="1" x14ac:dyDescent="0.3">
      <c r="A26" s="52" t="s">
        <v>529</v>
      </c>
      <c r="B26" s="49"/>
      <c r="C26" s="49"/>
      <c r="D26" s="49"/>
      <c r="E26" s="49"/>
    </row>
    <row r="28" spans="1:5" ht="22.05" customHeight="1" x14ac:dyDescent="0.3">
      <c r="A28" s="50" t="s">
        <v>530</v>
      </c>
      <c r="B28" s="51"/>
      <c r="C28" s="51"/>
      <c r="D28" s="51"/>
      <c r="E28" s="51"/>
    </row>
    <row r="29" spans="1:5" ht="30" customHeight="1" x14ac:dyDescent="0.3">
      <c r="A29" s="2" t="s">
        <v>1</v>
      </c>
      <c r="B29" s="2" t="s">
        <v>531</v>
      </c>
      <c r="C29" s="2" t="s">
        <v>532</v>
      </c>
      <c r="D29" s="2" t="s">
        <v>533</v>
      </c>
      <c r="E29" s="2" t="s">
        <v>534</v>
      </c>
    </row>
    <row r="30" spans="1:5" ht="18" customHeight="1" x14ac:dyDescent="0.3">
      <c r="A30" s="5" t="s">
        <v>10</v>
      </c>
      <c r="B30" s="6">
        <f>COUNTIF(Detections!$B$2:$B$83,$A30)</f>
        <v>10</v>
      </c>
      <c r="C30" s="6">
        <f>COUNTIFS(Detections!$B$2:$B$83,$A30,Detections!$D$2:$D$83,"Simple")</f>
        <v>3</v>
      </c>
      <c r="D30" s="6">
        <f>COUNTIFS(Detections!$B$2:$B$83,$A30,Detections!$D$2:$D$83,"Seuil")</f>
        <v>3</v>
      </c>
      <c r="E30" s="6">
        <f>COUNTIFS(Detections!$B$2:$B$83,$A30,Detections!$D$2:$D$83,"Corrélation")</f>
        <v>4</v>
      </c>
    </row>
    <row r="31" spans="1:5" ht="18" customHeight="1" x14ac:dyDescent="0.3">
      <c r="A31" s="7" t="s">
        <v>74</v>
      </c>
      <c r="B31" s="6">
        <f>COUNTIF(Detections!$B$2:$B$83,$A31)</f>
        <v>11</v>
      </c>
      <c r="C31" s="6">
        <f>COUNTIFS(Detections!$B$2:$B$83,$A31,Detections!$D$2:$D$83,"Simple")</f>
        <v>8</v>
      </c>
      <c r="D31" s="6">
        <f>COUNTIFS(Detections!$B$2:$B$83,$A31,Detections!$D$2:$D$83,"Seuil")</f>
        <v>1</v>
      </c>
      <c r="E31" s="6">
        <f>COUNTIFS(Detections!$B$2:$B$83,$A31,Detections!$D$2:$D$83,"Corrélation")</f>
        <v>2</v>
      </c>
    </row>
    <row r="32" spans="1:5" ht="18" customHeight="1" x14ac:dyDescent="0.3">
      <c r="A32" s="8" t="s">
        <v>139</v>
      </c>
      <c r="B32" s="6">
        <f>COUNTIF(Detections!$B$2:$B$83,$A32)</f>
        <v>7</v>
      </c>
      <c r="C32" s="6">
        <f>COUNTIFS(Detections!$B$2:$B$83,$A32,Detections!$D$2:$D$83,"Simple")</f>
        <v>5</v>
      </c>
      <c r="D32" s="6">
        <f>COUNTIFS(Detections!$B$2:$B$83,$A32,Detections!$D$2:$D$83,"Seuil")</f>
        <v>0</v>
      </c>
      <c r="E32" s="6">
        <f>COUNTIFS(Detections!$B$2:$B$83,$A32,Detections!$D$2:$D$83,"Corrélation")</f>
        <v>2</v>
      </c>
    </row>
    <row r="33" spans="1:5" ht="18" customHeight="1" x14ac:dyDescent="0.3">
      <c r="A33" s="9" t="s">
        <v>180</v>
      </c>
      <c r="B33" s="6">
        <f>COUNTIF(Detections!$B$2:$B$83,$A33)</f>
        <v>8</v>
      </c>
      <c r="C33" s="6">
        <f>COUNTIFS(Detections!$B$2:$B$83,$A33,Detections!$D$2:$D$83,"Simple")</f>
        <v>3</v>
      </c>
      <c r="D33" s="6">
        <f>COUNTIFS(Detections!$B$2:$B$83,$A33,Detections!$D$2:$D$83,"Seuil")</f>
        <v>2</v>
      </c>
      <c r="E33" s="6">
        <f>COUNTIFS(Detections!$B$2:$B$83,$A33,Detections!$D$2:$D$83,"Corrélation")</f>
        <v>3</v>
      </c>
    </row>
    <row r="34" spans="1:5" ht="18" customHeight="1" x14ac:dyDescent="0.3">
      <c r="A34" s="10" t="s">
        <v>226</v>
      </c>
      <c r="B34" s="6">
        <f>COUNTIF(Detections!$B$2:$B$83,$A34)</f>
        <v>10</v>
      </c>
      <c r="C34" s="6">
        <f>COUNTIFS(Detections!$B$2:$B$83,$A34,Detections!$D$2:$D$83,"Simple")</f>
        <v>3</v>
      </c>
      <c r="D34" s="6">
        <f>COUNTIFS(Detections!$B$2:$B$83,$A34,Detections!$D$2:$D$83,"Seuil")</f>
        <v>4</v>
      </c>
      <c r="E34" s="6">
        <f>COUNTIFS(Detections!$B$2:$B$83,$A34,Detections!$D$2:$D$83,"Corrélation")</f>
        <v>3</v>
      </c>
    </row>
    <row r="35" spans="1:5" ht="18" customHeight="1" x14ac:dyDescent="0.3">
      <c r="A35" s="11" t="s">
        <v>285</v>
      </c>
      <c r="B35" s="6">
        <f>COUNTIF(Detections!$B$2:$B$83,$A35)</f>
        <v>8</v>
      </c>
      <c r="C35" s="6">
        <f>COUNTIFS(Detections!$B$2:$B$83,$A35,Detections!$D$2:$D$83,"Simple")</f>
        <v>4</v>
      </c>
      <c r="D35" s="6">
        <f>COUNTIFS(Detections!$B$2:$B$83,$A35,Detections!$D$2:$D$83,"Seuil")</f>
        <v>0</v>
      </c>
      <c r="E35" s="6">
        <f>COUNTIFS(Detections!$B$2:$B$83,$A35,Detections!$D$2:$D$83,"Corrélation")</f>
        <v>4</v>
      </c>
    </row>
    <row r="36" spans="1:5" ht="18" customHeight="1" x14ac:dyDescent="0.3">
      <c r="A36" s="12" t="s">
        <v>329</v>
      </c>
      <c r="B36" s="6">
        <f>COUNTIF(Detections!$B$2:$B$83,$A36)</f>
        <v>7</v>
      </c>
      <c r="C36" s="6">
        <f>COUNTIFS(Detections!$B$2:$B$83,$A36,Detections!$D$2:$D$83,"Simple")</f>
        <v>4</v>
      </c>
      <c r="D36" s="6">
        <f>COUNTIFS(Detections!$B$2:$B$83,$A36,Detections!$D$2:$D$83,"Seuil")</f>
        <v>2</v>
      </c>
      <c r="E36" s="6">
        <f>COUNTIFS(Detections!$B$2:$B$83,$A36,Detections!$D$2:$D$83,"Corrélation")</f>
        <v>1</v>
      </c>
    </row>
    <row r="37" spans="1:5" ht="18" customHeight="1" x14ac:dyDescent="0.3">
      <c r="A37" s="13" t="s">
        <v>367</v>
      </c>
      <c r="B37" s="6">
        <f>COUNTIF(Detections!$B$2:$B$83,$A37)</f>
        <v>7</v>
      </c>
      <c r="C37" s="6">
        <f>COUNTIFS(Detections!$B$2:$B$83,$A37,Detections!$D$2:$D$83,"Simple")</f>
        <v>2</v>
      </c>
      <c r="D37" s="6">
        <f>COUNTIFS(Detections!$B$2:$B$83,$A37,Detections!$D$2:$D$83,"Seuil")</f>
        <v>3</v>
      </c>
      <c r="E37" s="6">
        <f>COUNTIFS(Detections!$B$2:$B$83,$A37,Detections!$D$2:$D$83,"Corrélation")</f>
        <v>2</v>
      </c>
    </row>
    <row r="38" spans="1:5" ht="18" customHeight="1" x14ac:dyDescent="0.3">
      <c r="A38" s="14" t="s">
        <v>407</v>
      </c>
      <c r="B38" s="6">
        <f>COUNTIF(Detections!$B$2:$B$83,$A38)</f>
        <v>4</v>
      </c>
      <c r="C38" s="6">
        <f>COUNTIFS(Detections!$B$2:$B$83,$A38,Detections!$D$2:$D$83,"Simple")</f>
        <v>3</v>
      </c>
      <c r="D38" s="6">
        <f>COUNTIFS(Detections!$B$2:$B$83,$A38,Detections!$D$2:$D$83,"Seuil")</f>
        <v>0</v>
      </c>
      <c r="E38" s="6">
        <f>COUNTIFS(Detections!$B$2:$B$83,$A38,Detections!$D$2:$D$83,"Corrélation")</f>
        <v>1</v>
      </c>
    </row>
    <row r="39" spans="1:5" ht="18" customHeight="1" x14ac:dyDescent="0.3">
      <c r="A39" s="15" t="s">
        <v>429</v>
      </c>
      <c r="B39" s="6">
        <f>COUNTIF(Detections!$B$2:$B$83,$A39)</f>
        <v>6</v>
      </c>
      <c r="C39" s="6">
        <f>COUNTIFS(Detections!$B$2:$B$83,$A39,Detections!$D$2:$D$83,"Simple")</f>
        <v>2</v>
      </c>
      <c r="D39" s="6">
        <f>COUNTIFS(Detections!$B$2:$B$83,$A39,Detections!$D$2:$D$83,"Seuil")</f>
        <v>1</v>
      </c>
      <c r="E39" s="6">
        <f>COUNTIFS(Detections!$B$2:$B$83,$A39,Detections!$D$2:$D$83,"Corrélation")</f>
        <v>3</v>
      </c>
    </row>
    <row r="40" spans="1:5" ht="18" customHeight="1" x14ac:dyDescent="0.3">
      <c r="A40" s="16" t="s">
        <v>464</v>
      </c>
      <c r="B40" s="6">
        <f>COUNTIF(Detections!$B$2:$B$83,$A40)</f>
        <v>4</v>
      </c>
      <c r="C40" s="6">
        <f>COUNTIFS(Detections!$B$2:$B$83,$A40,Detections!$D$2:$D$83,"Simple")</f>
        <v>2</v>
      </c>
      <c r="D40" s="6">
        <f>COUNTIFS(Detections!$B$2:$B$83,$A40,Detections!$D$2:$D$83,"Seuil")</f>
        <v>2</v>
      </c>
      <c r="E40" s="6">
        <f>COUNTIFS(Detections!$B$2:$B$83,$A40,Detections!$D$2:$D$83,"Corrélation")</f>
        <v>0</v>
      </c>
    </row>
    <row r="41" spans="1:5" ht="18" customHeight="1" x14ac:dyDescent="0.3">
      <c r="A41" s="17" t="s">
        <v>535</v>
      </c>
      <c r="B41" s="18">
        <f>SUM(B30:B40)</f>
        <v>82</v>
      </c>
      <c r="C41" s="18">
        <f>SUM(C30:C40)</f>
        <v>39</v>
      </c>
      <c r="D41" s="18">
        <f>SUM(D30:D40)</f>
        <v>18</v>
      </c>
      <c r="E41" s="18">
        <f>SUM(E30:E40)</f>
        <v>25</v>
      </c>
    </row>
  </sheetData>
  <mergeCells count="18">
    <mergeCell ref="A28:E28"/>
    <mergeCell ref="B16:E16"/>
    <mergeCell ref="B15:E15"/>
    <mergeCell ref="A1:E1"/>
    <mergeCell ref="A5:E5"/>
    <mergeCell ref="B11:E11"/>
    <mergeCell ref="A14:E14"/>
    <mergeCell ref="B10:E10"/>
    <mergeCell ref="A20:E20"/>
    <mergeCell ref="A2:E2"/>
    <mergeCell ref="A26:E26"/>
    <mergeCell ref="B12:E12"/>
    <mergeCell ref="A7:E7"/>
    <mergeCell ref="B17:E17"/>
    <mergeCell ref="B9:E9"/>
    <mergeCell ref="A4:E4"/>
    <mergeCell ref="B8:E8"/>
    <mergeCell ref="B18:E18"/>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tabSelected="1" zoomScale="90" workbookViewId="0">
      <pane ySplit="1" topLeftCell="A2" activePane="bottomLeft" state="frozen"/>
      <selection pane="bottomLeft" activeCell="A2" sqref="A2"/>
    </sheetView>
  </sheetViews>
  <sheetFormatPr baseColWidth="10" defaultColWidth="8.88671875" defaultRowHeight="14.4" x14ac:dyDescent="0.3"/>
  <cols>
    <col min="1" max="1" width="9" customWidth="1"/>
    <col min="2" max="2" width="17" customWidth="1"/>
    <col min="3" max="3" width="30" customWidth="1"/>
    <col min="4" max="4" width="12" customWidth="1"/>
    <col min="5" max="5" width="40" customWidth="1"/>
    <col min="6" max="6" width="24" customWidth="1"/>
    <col min="7" max="7" width="62" customWidth="1"/>
    <col min="8" max="8" width="10" customWidth="1"/>
    <col min="9" max="9" width="28" customWidth="1"/>
  </cols>
  <sheetData>
    <row r="1" spans="1:9" ht="30" customHeight="1" x14ac:dyDescent="0.3">
      <c r="A1" s="2" t="s">
        <v>0</v>
      </c>
      <c r="B1" s="2" t="s">
        <v>1</v>
      </c>
      <c r="C1" s="2" t="s">
        <v>2</v>
      </c>
      <c r="D1" s="2" t="s">
        <v>3</v>
      </c>
      <c r="E1" s="2" t="s">
        <v>4</v>
      </c>
      <c r="F1" s="2" t="s">
        <v>5</v>
      </c>
      <c r="G1" s="2" t="s">
        <v>6</v>
      </c>
      <c r="H1" s="2" t="s">
        <v>7</v>
      </c>
      <c r="I1" s="2" t="s">
        <v>8</v>
      </c>
    </row>
    <row r="2" spans="1:9" ht="55.2" customHeight="1" x14ac:dyDescent="0.3">
      <c r="A2" s="19" t="s">
        <v>9</v>
      </c>
      <c r="B2" s="20" t="s">
        <v>10</v>
      </c>
      <c r="C2" s="3" t="s">
        <v>11</v>
      </c>
      <c r="D2" s="21" t="s">
        <v>12</v>
      </c>
      <c r="E2" s="4" t="s">
        <v>13</v>
      </c>
      <c r="F2" s="4" t="s">
        <v>14</v>
      </c>
      <c r="G2" s="4" t="s">
        <v>15</v>
      </c>
      <c r="H2" s="22" t="s">
        <v>16</v>
      </c>
      <c r="I2" s="4" t="s">
        <v>17</v>
      </c>
    </row>
    <row r="3" spans="1:9" ht="55.2" customHeight="1" x14ac:dyDescent="0.3">
      <c r="A3" s="19" t="s">
        <v>18</v>
      </c>
      <c r="B3" s="20" t="s">
        <v>10</v>
      </c>
      <c r="C3" s="3" t="s">
        <v>19</v>
      </c>
      <c r="D3" s="21" t="s">
        <v>12</v>
      </c>
      <c r="E3" s="4" t="s">
        <v>20</v>
      </c>
      <c r="F3" s="4" t="s">
        <v>21</v>
      </c>
      <c r="G3" s="4" t="s">
        <v>22</v>
      </c>
      <c r="H3" s="22" t="s">
        <v>16</v>
      </c>
      <c r="I3" s="4" t="s">
        <v>23</v>
      </c>
    </row>
    <row r="4" spans="1:9" ht="41.4" customHeight="1" x14ac:dyDescent="0.3">
      <c r="A4" s="19" t="s">
        <v>24</v>
      </c>
      <c r="B4" s="20" t="s">
        <v>10</v>
      </c>
      <c r="C4" s="3" t="s">
        <v>25</v>
      </c>
      <c r="D4" s="23" t="s">
        <v>26</v>
      </c>
      <c r="E4" s="4" t="s">
        <v>27</v>
      </c>
      <c r="F4" s="4" t="s">
        <v>28</v>
      </c>
      <c r="G4" s="4" t="s">
        <v>29</v>
      </c>
      <c r="H4" s="24" t="s">
        <v>30</v>
      </c>
      <c r="I4" s="4" t="s">
        <v>31</v>
      </c>
    </row>
    <row r="5" spans="1:9" ht="69" customHeight="1" x14ac:dyDescent="0.3">
      <c r="A5" s="19" t="s">
        <v>32</v>
      </c>
      <c r="B5" s="20" t="s">
        <v>10</v>
      </c>
      <c r="C5" s="3" t="s">
        <v>33</v>
      </c>
      <c r="D5" s="21" t="s">
        <v>12</v>
      </c>
      <c r="E5" s="4" t="s">
        <v>34</v>
      </c>
      <c r="F5" s="4" t="s">
        <v>35</v>
      </c>
      <c r="G5" s="4" t="s">
        <v>36</v>
      </c>
      <c r="H5" s="24" t="s">
        <v>30</v>
      </c>
      <c r="I5" s="4" t="s">
        <v>37</v>
      </c>
    </row>
    <row r="6" spans="1:9" ht="55.2" customHeight="1" x14ac:dyDescent="0.3">
      <c r="A6" s="19" t="s">
        <v>38</v>
      </c>
      <c r="B6" s="20" t="s">
        <v>10</v>
      </c>
      <c r="C6" s="3" t="s">
        <v>39</v>
      </c>
      <c r="D6" s="21" t="s">
        <v>12</v>
      </c>
      <c r="E6" s="4" t="s">
        <v>40</v>
      </c>
      <c r="F6" s="4" t="s">
        <v>41</v>
      </c>
      <c r="G6" s="4" t="s">
        <v>42</v>
      </c>
      <c r="H6" s="25" t="s">
        <v>43</v>
      </c>
      <c r="I6" s="4" t="s">
        <v>44</v>
      </c>
    </row>
    <row r="7" spans="1:9" ht="69" customHeight="1" x14ac:dyDescent="0.3">
      <c r="A7" s="19" t="s">
        <v>45</v>
      </c>
      <c r="B7" s="20" t="s">
        <v>10</v>
      </c>
      <c r="C7" s="3" t="s">
        <v>46</v>
      </c>
      <c r="D7" s="23" t="s">
        <v>47</v>
      </c>
      <c r="E7" s="4" t="s">
        <v>48</v>
      </c>
      <c r="F7" s="4" t="s">
        <v>49</v>
      </c>
      <c r="G7" s="4" t="s">
        <v>50</v>
      </c>
      <c r="H7" s="22" t="s">
        <v>16</v>
      </c>
      <c r="I7" s="4" t="s">
        <v>51</v>
      </c>
    </row>
    <row r="8" spans="1:9" ht="55.2" customHeight="1" x14ac:dyDescent="0.3">
      <c r="A8" s="19" t="s">
        <v>52</v>
      </c>
      <c r="B8" s="20" t="s">
        <v>10</v>
      </c>
      <c r="C8" s="3" t="s">
        <v>53</v>
      </c>
      <c r="D8" s="23" t="s">
        <v>26</v>
      </c>
      <c r="E8" s="4" t="s">
        <v>54</v>
      </c>
      <c r="F8" s="4" t="s">
        <v>49</v>
      </c>
      <c r="G8" s="4" t="s">
        <v>55</v>
      </c>
      <c r="H8" s="22" t="s">
        <v>16</v>
      </c>
      <c r="I8" s="4" t="s">
        <v>56</v>
      </c>
    </row>
    <row r="9" spans="1:9" ht="55.2" customHeight="1" x14ac:dyDescent="0.3">
      <c r="A9" s="19" t="s">
        <v>57</v>
      </c>
      <c r="B9" s="20" t="s">
        <v>10</v>
      </c>
      <c r="C9" s="3" t="s">
        <v>58</v>
      </c>
      <c r="D9" s="23" t="s">
        <v>47</v>
      </c>
      <c r="E9" s="4" t="s">
        <v>59</v>
      </c>
      <c r="F9" s="4" t="s">
        <v>49</v>
      </c>
      <c r="G9" s="4" t="s">
        <v>60</v>
      </c>
      <c r="H9" s="25" t="s">
        <v>43</v>
      </c>
      <c r="I9" s="4" t="s">
        <v>61</v>
      </c>
    </row>
    <row r="10" spans="1:9" ht="41.4" customHeight="1" x14ac:dyDescent="0.3">
      <c r="A10" s="19" t="s">
        <v>62</v>
      </c>
      <c r="B10" s="20" t="s">
        <v>10</v>
      </c>
      <c r="C10" s="3" t="s">
        <v>63</v>
      </c>
      <c r="D10" s="23" t="s">
        <v>26</v>
      </c>
      <c r="E10" s="4" t="s">
        <v>64</v>
      </c>
      <c r="F10" s="4" t="s">
        <v>65</v>
      </c>
      <c r="G10" s="4" t="s">
        <v>66</v>
      </c>
      <c r="H10" s="22" t="s">
        <v>16</v>
      </c>
      <c r="I10" s="4" t="s">
        <v>67</v>
      </c>
    </row>
    <row r="11" spans="1:9" ht="55.2" customHeight="1" x14ac:dyDescent="0.3">
      <c r="A11" s="19" t="s">
        <v>68</v>
      </c>
      <c r="B11" s="20" t="s">
        <v>10</v>
      </c>
      <c r="C11" s="3" t="s">
        <v>69</v>
      </c>
      <c r="D11" s="23" t="s">
        <v>47</v>
      </c>
      <c r="E11" s="4" t="s">
        <v>70</v>
      </c>
      <c r="F11" s="4" t="s">
        <v>49</v>
      </c>
      <c r="G11" s="4" t="s">
        <v>71</v>
      </c>
      <c r="H11" s="22" t="s">
        <v>16</v>
      </c>
      <c r="I11" s="4" t="s">
        <v>72</v>
      </c>
    </row>
    <row r="12" spans="1:9" ht="41.4" customHeight="1" x14ac:dyDescent="0.3">
      <c r="A12" s="26" t="s">
        <v>73</v>
      </c>
      <c r="B12" s="27" t="s">
        <v>74</v>
      </c>
      <c r="C12" s="3" t="s">
        <v>75</v>
      </c>
      <c r="D12" s="23" t="s">
        <v>47</v>
      </c>
      <c r="E12" s="4" t="s">
        <v>76</v>
      </c>
      <c r="F12" s="4" t="s">
        <v>77</v>
      </c>
      <c r="G12" s="4" t="s">
        <v>78</v>
      </c>
      <c r="H12" s="25" t="s">
        <v>43</v>
      </c>
      <c r="I12" s="4" t="s">
        <v>79</v>
      </c>
    </row>
    <row r="13" spans="1:9" ht="55.2" customHeight="1" x14ac:dyDescent="0.3">
      <c r="A13" s="26" t="s">
        <v>80</v>
      </c>
      <c r="B13" s="27" t="s">
        <v>74</v>
      </c>
      <c r="C13" s="3" t="s">
        <v>81</v>
      </c>
      <c r="D13" s="23" t="s">
        <v>47</v>
      </c>
      <c r="E13" s="4" t="s">
        <v>82</v>
      </c>
      <c r="F13" s="4" t="s">
        <v>83</v>
      </c>
      <c r="G13" s="4" t="s">
        <v>84</v>
      </c>
      <c r="H13" s="22" t="s">
        <v>16</v>
      </c>
      <c r="I13" s="4" t="s">
        <v>85</v>
      </c>
    </row>
    <row r="14" spans="1:9" ht="69" customHeight="1" x14ac:dyDescent="0.3">
      <c r="A14" s="26" t="s">
        <v>86</v>
      </c>
      <c r="B14" s="27" t="s">
        <v>74</v>
      </c>
      <c r="C14" s="3" t="s">
        <v>87</v>
      </c>
      <c r="D14" s="21" t="s">
        <v>12</v>
      </c>
      <c r="E14" s="4" t="s">
        <v>88</v>
      </c>
      <c r="F14" s="4" t="s">
        <v>89</v>
      </c>
      <c r="G14" s="4" t="s">
        <v>90</v>
      </c>
      <c r="H14" s="25" t="s">
        <v>43</v>
      </c>
      <c r="I14" s="4" t="s">
        <v>91</v>
      </c>
    </row>
    <row r="15" spans="1:9" ht="55.2" customHeight="1" x14ac:dyDescent="0.3">
      <c r="A15" s="26" t="s">
        <v>92</v>
      </c>
      <c r="B15" s="27" t="s">
        <v>74</v>
      </c>
      <c r="C15" s="3" t="s">
        <v>93</v>
      </c>
      <c r="D15" s="23" t="s">
        <v>47</v>
      </c>
      <c r="E15" s="4" t="s">
        <v>94</v>
      </c>
      <c r="F15" s="4" t="s">
        <v>95</v>
      </c>
      <c r="G15" s="4" t="s">
        <v>96</v>
      </c>
      <c r="H15" s="22" t="s">
        <v>16</v>
      </c>
      <c r="I15" s="4" t="s">
        <v>97</v>
      </c>
    </row>
    <row r="16" spans="1:9" ht="41.4" customHeight="1" x14ac:dyDescent="0.3">
      <c r="A16" s="26" t="s">
        <v>98</v>
      </c>
      <c r="B16" s="27" t="s">
        <v>74</v>
      </c>
      <c r="C16" s="3" t="s">
        <v>99</v>
      </c>
      <c r="D16" s="21" t="s">
        <v>12</v>
      </c>
      <c r="E16" s="4" t="s">
        <v>100</v>
      </c>
      <c r="F16" s="4" t="s">
        <v>77</v>
      </c>
      <c r="G16" s="4" t="s">
        <v>101</v>
      </c>
      <c r="H16" s="25" t="s">
        <v>43</v>
      </c>
      <c r="I16" s="4" t="s">
        <v>102</v>
      </c>
    </row>
    <row r="17" spans="1:9" ht="55.2" customHeight="1" x14ac:dyDescent="0.3">
      <c r="A17" s="26" t="s">
        <v>103</v>
      </c>
      <c r="B17" s="27" t="s">
        <v>74</v>
      </c>
      <c r="C17" s="3" t="s">
        <v>104</v>
      </c>
      <c r="D17" s="23" t="s">
        <v>47</v>
      </c>
      <c r="E17" s="4" t="s">
        <v>105</v>
      </c>
      <c r="F17" s="4" t="s">
        <v>106</v>
      </c>
      <c r="G17" s="4" t="s">
        <v>107</v>
      </c>
      <c r="H17" s="24" t="s">
        <v>30</v>
      </c>
      <c r="I17" s="4" t="s">
        <v>108</v>
      </c>
    </row>
    <row r="18" spans="1:9" ht="41.4" customHeight="1" x14ac:dyDescent="0.3">
      <c r="A18" s="26" t="s">
        <v>109</v>
      </c>
      <c r="B18" s="27" t="s">
        <v>74</v>
      </c>
      <c r="C18" s="3" t="s">
        <v>110</v>
      </c>
      <c r="D18" s="23" t="s">
        <v>47</v>
      </c>
      <c r="E18" s="4" t="s">
        <v>111</v>
      </c>
      <c r="F18" s="4" t="s">
        <v>112</v>
      </c>
      <c r="G18" s="4" t="s">
        <v>113</v>
      </c>
      <c r="H18" s="22" t="s">
        <v>16</v>
      </c>
      <c r="I18" s="4" t="s">
        <v>114</v>
      </c>
    </row>
    <row r="19" spans="1:9" ht="69" customHeight="1" x14ac:dyDescent="0.3">
      <c r="A19" s="26" t="s">
        <v>115</v>
      </c>
      <c r="B19" s="27" t="s">
        <v>74</v>
      </c>
      <c r="C19" s="3" t="s">
        <v>116</v>
      </c>
      <c r="D19" s="23" t="s">
        <v>47</v>
      </c>
      <c r="E19" s="4" t="s">
        <v>117</v>
      </c>
      <c r="F19" s="4" t="s">
        <v>112</v>
      </c>
      <c r="G19" s="4" t="s">
        <v>118</v>
      </c>
      <c r="H19" s="22" t="s">
        <v>16</v>
      </c>
      <c r="I19" s="4" t="s">
        <v>119</v>
      </c>
    </row>
    <row r="20" spans="1:9" ht="41.4" customHeight="1" x14ac:dyDescent="0.3">
      <c r="A20" s="26" t="s">
        <v>120</v>
      </c>
      <c r="B20" s="27" t="s">
        <v>74</v>
      </c>
      <c r="C20" s="3" t="s">
        <v>121</v>
      </c>
      <c r="D20" s="23" t="s">
        <v>47</v>
      </c>
      <c r="E20" s="4" t="s">
        <v>122</v>
      </c>
      <c r="F20" s="4" t="s">
        <v>123</v>
      </c>
      <c r="G20" s="4" t="s">
        <v>124</v>
      </c>
      <c r="H20" s="25" t="s">
        <v>43</v>
      </c>
      <c r="I20" s="4" t="s">
        <v>125</v>
      </c>
    </row>
    <row r="21" spans="1:9" ht="55.2" customHeight="1" x14ac:dyDescent="0.3">
      <c r="A21" s="26" t="s">
        <v>126</v>
      </c>
      <c r="B21" s="27" t="s">
        <v>74</v>
      </c>
      <c r="C21" s="3" t="s">
        <v>127</v>
      </c>
      <c r="D21" s="23" t="s">
        <v>47</v>
      </c>
      <c r="E21" s="4" t="s">
        <v>128</v>
      </c>
      <c r="F21" s="4" t="s">
        <v>129</v>
      </c>
      <c r="G21" s="4" t="s">
        <v>130</v>
      </c>
      <c r="H21" s="22" t="s">
        <v>16</v>
      </c>
      <c r="I21" s="4" t="s">
        <v>131</v>
      </c>
    </row>
    <row r="22" spans="1:9" ht="41.4" customHeight="1" x14ac:dyDescent="0.3">
      <c r="A22" s="26" t="s">
        <v>132</v>
      </c>
      <c r="B22" s="27" t="s">
        <v>74</v>
      </c>
      <c r="C22" s="3" t="s">
        <v>133</v>
      </c>
      <c r="D22" s="23" t="s">
        <v>26</v>
      </c>
      <c r="E22" s="4" t="s">
        <v>134</v>
      </c>
      <c r="F22" s="4" t="s">
        <v>135</v>
      </c>
      <c r="G22" s="4" t="s">
        <v>136</v>
      </c>
      <c r="H22" s="22" t="s">
        <v>16</v>
      </c>
      <c r="I22" s="4" t="s">
        <v>137</v>
      </c>
    </row>
    <row r="23" spans="1:9" ht="27.6" customHeight="1" x14ac:dyDescent="0.3">
      <c r="A23" s="28" t="s">
        <v>138</v>
      </c>
      <c r="B23" s="29" t="s">
        <v>139</v>
      </c>
      <c r="C23" s="3" t="s">
        <v>140</v>
      </c>
      <c r="D23" s="23" t="s">
        <v>47</v>
      </c>
      <c r="E23" s="4" t="s">
        <v>141</v>
      </c>
      <c r="F23" s="4" t="s">
        <v>142</v>
      </c>
      <c r="G23" s="4" t="s">
        <v>143</v>
      </c>
      <c r="H23" s="24" t="s">
        <v>30</v>
      </c>
      <c r="I23" s="4" t="s">
        <v>144</v>
      </c>
    </row>
    <row r="24" spans="1:9" ht="41.4" customHeight="1" x14ac:dyDescent="0.3">
      <c r="A24" s="28" t="s">
        <v>145</v>
      </c>
      <c r="B24" s="29" t="s">
        <v>139</v>
      </c>
      <c r="C24" s="3" t="s">
        <v>146</v>
      </c>
      <c r="D24" s="21" t="s">
        <v>12</v>
      </c>
      <c r="E24" s="4" t="s">
        <v>147</v>
      </c>
      <c r="F24" s="4" t="s">
        <v>142</v>
      </c>
      <c r="G24" s="4" t="s">
        <v>148</v>
      </c>
      <c r="H24" s="22" t="s">
        <v>16</v>
      </c>
      <c r="I24" s="4" t="s">
        <v>149</v>
      </c>
    </row>
    <row r="25" spans="1:9" ht="41.4" customHeight="1" x14ac:dyDescent="0.3">
      <c r="A25" s="28" t="s">
        <v>150</v>
      </c>
      <c r="B25" s="29" t="s">
        <v>139</v>
      </c>
      <c r="C25" s="3" t="s">
        <v>151</v>
      </c>
      <c r="D25" s="21" t="s">
        <v>12</v>
      </c>
      <c r="E25" s="4" t="s">
        <v>152</v>
      </c>
      <c r="F25" s="4" t="s">
        <v>153</v>
      </c>
      <c r="G25" s="4" t="s">
        <v>154</v>
      </c>
      <c r="H25" s="25" t="s">
        <v>43</v>
      </c>
      <c r="I25" s="4" t="s">
        <v>155</v>
      </c>
    </row>
    <row r="26" spans="1:9" ht="69" customHeight="1" x14ac:dyDescent="0.3">
      <c r="A26" s="28" t="s">
        <v>156</v>
      </c>
      <c r="B26" s="29" t="s">
        <v>139</v>
      </c>
      <c r="C26" s="3" t="s">
        <v>157</v>
      </c>
      <c r="D26" s="23" t="s">
        <v>47</v>
      </c>
      <c r="E26" s="4" t="s">
        <v>158</v>
      </c>
      <c r="F26" s="4" t="s">
        <v>159</v>
      </c>
      <c r="G26" s="4" t="s">
        <v>160</v>
      </c>
      <c r="H26" s="22" t="s">
        <v>16</v>
      </c>
      <c r="I26" s="4" t="s">
        <v>161</v>
      </c>
    </row>
    <row r="27" spans="1:9" ht="41.4" customHeight="1" x14ac:dyDescent="0.3">
      <c r="A27" s="28" t="s">
        <v>162</v>
      </c>
      <c r="B27" s="29" t="s">
        <v>139</v>
      </c>
      <c r="C27" s="3" t="s">
        <v>163</v>
      </c>
      <c r="D27" s="23" t="s">
        <v>47</v>
      </c>
      <c r="E27" s="4" t="s">
        <v>164</v>
      </c>
      <c r="F27" s="4" t="s">
        <v>165</v>
      </c>
      <c r="G27" s="4" t="s">
        <v>166</v>
      </c>
      <c r="H27" s="22" t="s">
        <v>16</v>
      </c>
      <c r="I27" s="4" t="s">
        <v>167</v>
      </c>
    </row>
    <row r="28" spans="1:9" ht="41.4" customHeight="1" x14ac:dyDescent="0.3">
      <c r="A28" s="28" t="s">
        <v>168</v>
      </c>
      <c r="B28" s="29" t="s">
        <v>139</v>
      </c>
      <c r="C28" s="3" t="s">
        <v>169</v>
      </c>
      <c r="D28" s="23" t="s">
        <v>47</v>
      </c>
      <c r="E28" s="4" t="s">
        <v>170</v>
      </c>
      <c r="F28" s="4" t="s">
        <v>171</v>
      </c>
      <c r="G28" s="4" t="s">
        <v>172</v>
      </c>
      <c r="H28" s="22" t="s">
        <v>16</v>
      </c>
      <c r="I28" s="4" t="s">
        <v>173</v>
      </c>
    </row>
    <row r="29" spans="1:9" ht="82.8" customHeight="1" x14ac:dyDescent="0.3">
      <c r="A29" s="28" t="s">
        <v>174</v>
      </c>
      <c r="B29" s="29" t="s">
        <v>139</v>
      </c>
      <c r="C29" s="3" t="s">
        <v>175</v>
      </c>
      <c r="D29" s="23" t="s">
        <v>47</v>
      </c>
      <c r="E29" s="4" t="s">
        <v>176</v>
      </c>
      <c r="F29" s="4" t="s">
        <v>153</v>
      </c>
      <c r="G29" s="4" t="s">
        <v>177</v>
      </c>
      <c r="H29" s="22" t="s">
        <v>16</v>
      </c>
      <c r="I29" s="4" t="s">
        <v>178</v>
      </c>
    </row>
    <row r="30" spans="1:9" ht="55.2" customHeight="1" x14ac:dyDescent="0.3">
      <c r="A30" s="30" t="s">
        <v>179</v>
      </c>
      <c r="B30" s="31" t="s">
        <v>180</v>
      </c>
      <c r="C30" s="3" t="s">
        <v>181</v>
      </c>
      <c r="D30" s="23" t="s">
        <v>26</v>
      </c>
      <c r="E30" s="4" t="s">
        <v>182</v>
      </c>
      <c r="F30" s="4" t="s">
        <v>183</v>
      </c>
      <c r="G30" s="4" t="s">
        <v>184</v>
      </c>
      <c r="H30" s="32" t="s">
        <v>185</v>
      </c>
      <c r="I30" s="4" t="s">
        <v>186</v>
      </c>
    </row>
    <row r="31" spans="1:9" ht="41.4" customHeight="1" x14ac:dyDescent="0.3">
      <c r="A31" s="30" t="s">
        <v>187</v>
      </c>
      <c r="B31" s="31" t="s">
        <v>180</v>
      </c>
      <c r="C31" s="3" t="s">
        <v>188</v>
      </c>
      <c r="D31" s="23" t="s">
        <v>47</v>
      </c>
      <c r="E31" s="4" t="s">
        <v>189</v>
      </c>
      <c r="F31" s="4" t="s">
        <v>183</v>
      </c>
      <c r="G31" s="4" t="s">
        <v>190</v>
      </c>
      <c r="H31" s="24" t="s">
        <v>30</v>
      </c>
      <c r="I31" s="4" t="s">
        <v>191</v>
      </c>
    </row>
    <row r="32" spans="1:9" ht="41.4" customHeight="1" x14ac:dyDescent="0.3">
      <c r="A32" s="30" t="s">
        <v>192</v>
      </c>
      <c r="B32" s="31" t="s">
        <v>180</v>
      </c>
      <c r="C32" s="3" t="s">
        <v>193</v>
      </c>
      <c r="D32" s="21" t="s">
        <v>12</v>
      </c>
      <c r="E32" s="4" t="s">
        <v>194</v>
      </c>
      <c r="F32" s="4" t="s">
        <v>183</v>
      </c>
      <c r="G32" s="4" t="s">
        <v>195</v>
      </c>
      <c r="H32" s="25" t="s">
        <v>43</v>
      </c>
      <c r="I32" s="4" t="s">
        <v>196</v>
      </c>
    </row>
    <row r="33" spans="1:9" ht="41.4" customHeight="1" x14ac:dyDescent="0.3">
      <c r="A33" s="30" t="s">
        <v>197</v>
      </c>
      <c r="B33" s="31" t="s">
        <v>180</v>
      </c>
      <c r="C33" s="3" t="s">
        <v>198</v>
      </c>
      <c r="D33" s="21" t="s">
        <v>12</v>
      </c>
      <c r="E33" s="4" t="s">
        <v>199</v>
      </c>
      <c r="F33" s="4" t="s">
        <v>200</v>
      </c>
      <c r="G33" s="4" t="s">
        <v>201</v>
      </c>
      <c r="H33" s="25" t="s">
        <v>43</v>
      </c>
      <c r="I33" s="4" t="s">
        <v>202</v>
      </c>
    </row>
    <row r="34" spans="1:9" ht="41.4" customHeight="1" x14ac:dyDescent="0.3">
      <c r="A34" s="30" t="s">
        <v>203</v>
      </c>
      <c r="B34" s="31" t="s">
        <v>180</v>
      </c>
      <c r="C34" s="3" t="s">
        <v>204</v>
      </c>
      <c r="D34" s="23" t="s">
        <v>47</v>
      </c>
      <c r="E34" s="4" t="s">
        <v>205</v>
      </c>
      <c r="F34" s="4" t="s">
        <v>206</v>
      </c>
      <c r="G34" s="4" t="s">
        <v>207</v>
      </c>
      <c r="H34" s="25" t="s">
        <v>43</v>
      </c>
      <c r="I34" s="4" t="s">
        <v>208</v>
      </c>
    </row>
    <row r="35" spans="1:9" ht="55.2" customHeight="1" x14ac:dyDescent="0.3">
      <c r="A35" s="30" t="s">
        <v>209</v>
      </c>
      <c r="B35" s="31" t="s">
        <v>180</v>
      </c>
      <c r="C35" s="3" t="s">
        <v>210</v>
      </c>
      <c r="D35" s="21" t="s">
        <v>12</v>
      </c>
      <c r="E35" s="4" t="s">
        <v>211</v>
      </c>
      <c r="F35" s="4" t="s">
        <v>212</v>
      </c>
      <c r="G35" s="4" t="s">
        <v>213</v>
      </c>
      <c r="H35" s="22" t="s">
        <v>16</v>
      </c>
      <c r="I35" s="4" t="s">
        <v>214</v>
      </c>
    </row>
    <row r="36" spans="1:9" ht="41.4" customHeight="1" x14ac:dyDescent="0.3">
      <c r="A36" s="30" t="s">
        <v>215</v>
      </c>
      <c r="B36" s="31" t="s">
        <v>180</v>
      </c>
      <c r="C36" s="3" t="s">
        <v>216</v>
      </c>
      <c r="D36" s="23" t="s">
        <v>47</v>
      </c>
      <c r="E36" s="4" t="s">
        <v>217</v>
      </c>
      <c r="F36" s="4" t="s">
        <v>183</v>
      </c>
      <c r="G36" s="4" t="s">
        <v>218</v>
      </c>
      <c r="H36" s="24" t="s">
        <v>30</v>
      </c>
      <c r="I36" s="4" t="s">
        <v>219</v>
      </c>
    </row>
    <row r="37" spans="1:9" ht="41.4" customHeight="1" x14ac:dyDescent="0.3">
      <c r="A37" s="30" t="s">
        <v>220</v>
      </c>
      <c r="B37" s="31" t="s">
        <v>180</v>
      </c>
      <c r="C37" s="3" t="s">
        <v>221</v>
      </c>
      <c r="D37" s="23" t="s">
        <v>26</v>
      </c>
      <c r="E37" s="4" t="s">
        <v>222</v>
      </c>
      <c r="F37" s="4" t="s">
        <v>223</v>
      </c>
      <c r="G37" s="4" t="s">
        <v>224</v>
      </c>
      <c r="H37" s="22" t="s">
        <v>16</v>
      </c>
      <c r="I37" s="4" t="s">
        <v>191</v>
      </c>
    </row>
    <row r="38" spans="1:9" ht="41.4" customHeight="1" x14ac:dyDescent="0.3">
      <c r="A38" s="33" t="s">
        <v>225</v>
      </c>
      <c r="B38" s="34" t="s">
        <v>226</v>
      </c>
      <c r="C38" s="3" t="s">
        <v>227</v>
      </c>
      <c r="D38" s="23" t="s">
        <v>26</v>
      </c>
      <c r="E38" s="4" t="s">
        <v>228</v>
      </c>
      <c r="F38" s="4" t="s">
        <v>229</v>
      </c>
      <c r="G38" s="4" t="s">
        <v>230</v>
      </c>
      <c r="H38" s="24" t="s">
        <v>30</v>
      </c>
      <c r="I38" s="4" t="s">
        <v>231</v>
      </c>
    </row>
    <row r="39" spans="1:9" ht="41.4" customHeight="1" x14ac:dyDescent="0.3">
      <c r="A39" s="33" t="s">
        <v>232</v>
      </c>
      <c r="B39" s="34" t="s">
        <v>226</v>
      </c>
      <c r="C39" s="3" t="s">
        <v>233</v>
      </c>
      <c r="D39" s="23" t="s">
        <v>47</v>
      </c>
      <c r="E39" s="4" t="s">
        <v>234</v>
      </c>
      <c r="F39" s="4" t="s">
        <v>235</v>
      </c>
      <c r="G39" s="4" t="s">
        <v>236</v>
      </c>
      <c r="H39" s="22" t="s">
        <v>16</v>
      </c>
      <c r="I39" s="4" t="s">
        <v>237</v>
      </c>
    </row>
    <row r="40" spans="1:9" ht="41.4" customHeight="1" x14ac:dyDescent="0.3">
      <c r="A40" s="33" t="s">
        <v>238</v>
      </c>
      <c r="B40" s="34" t="s">
        <v>226</v>
      </c>
      <c r="C40" s="3" t="s">
        <v>239</v>
      </c>
      <c r="D40" s="23" t="s">
        <v>26</v>
      </c>
      <c r="E40" s="4" t="s">
        <v>240</v>
      </c>
      <c r="F40" s="4" t="s">
        <v>235</v>
      </c>
      <c r="G40" s="4" t="s">
        <v>241</v>
      </c>
      <c r="H40" s="24" t="s">
        <v>30</v>
      </c>
      <c r="I40" s="4" t="s">
        <v>242</v>
      </c>
    </row>
    <row r="41" spans="1:9" ht="55.2" customHeight="1" x14ac:dyDescent="0.3">
      <c r="A41" s="33" t="s">
        <v>243</v>
      </c>
      <c r="B41" s="34" t="s">
        <v>226</v>
      </c>
      <c r="C41" s="3" t="s">
        <v>244</v>
      </c>
      <c r="D41" s="23" t="s">
        <v>26</v>
      </c>
      <c r="E41" s="4" t="s">
        <v>245</v>
      </c>
      <c r="F41" s="4" t="s">
        <v>246</v>
      </c>
      <c r="G41" s="4" t="s">
        <v>247</v>
      </c>
      <c r="H41" s="22" t="s">
        <v>16</v>
      </c>
      <c r="I41" s="4" t="s">
        <v>248</v>
      </c>
    </row>
    <row r="42" spans="1:9" ht="55.2" customHeight="1" x14ac:dyDescent="0.3">
      <c r="A42" s="33" t="s">
        <v>249</v>
      </c>
      <c r="B42" s="34" t="s">
        <v>226</v>
      </c>
      <c r="C42" s="3" t="s">
        <v>250</v>
      </c>
      <c r="D42" s="23" t="s">
        <v>47</v>
      </c>
      <c r="E42" s="4" t="s">
        <v>251</v>
      </c>
      <c r="F42" s="4" t="s">
        <v>252</v>
      </c>
      <c r="G42" s="4" t="s">
        <v>253</v>
      </c>
      <c r="H42" s="22" t="s">
        <v>16</v>
      </c>
      <c r="I42" s="4" t="s">
        <v>254</v>
      </c>
    </row>
    <row r="43" spans="1:9" ht="41.4" customHeight="1" x14ac:dyDescent="0.3">
      <c r="A43" s="33" t="s">
        <v>255</v>
      </c>
      <c r="B43" s="34" t="s">
        <v>226</v>
      </c>
      <c r="C43" s="3" t="s">
        <v>256</v>
      </c>
      <c r="D43" s="21" t="s">
        <v>12</v>
      </c>
      <c r="E43" s="4" t="s">
        <v>257</v>
      </c>
      <c r="F43" s="4" t="s">
        <v>258</v>
      </c>
      <c r="G43" s="4" t="s">
        <v>259</v>
      </c>
      <c r="H43" s="25" t="s">
        <v>43</v>
      </c>
      <c r="I43" s="4" t="s">
        <v>260</v>
      </c>
    </row>
    <row r="44" spans="1:9" ht="55.2" customHeight="1" x14ac:dyDescent="0.3">
      <c r="A44" s="33" t="s">
        <v>261</v>
      </c>
      <c r="B44" s="34" t="s">
        <v>226</v>
      </c>
      <c r="C44" s="3" t="s">
        <v>262</v>
      </c>
      <c r="D44" s="21" t="s">
        <v>12</v>
      </c>
      <c r="E44" s="4" t="s">
        <v>263</v>
      </c>
      <c r="F44" s="4" t="s">
        <v>264</v>
      </c>
      <c r="G44" s="4" t="s">
        <v>265</v>
      </c>
      <c r="H44" s="25" t="s">
        <v>43</v>
      </c>
      <c r="I44" s="4" t="s">
        <v>266</v>
      </c>
    </row>
    <row r="45" spans="1:9" ht="41.4" customHeight="1" x14ac:dyDescent="0.3">
      <c r="A45" s="33" t="s">
        <v>267</v>
      </c>
      <c r="B45" s="34" t="s">
        <v>226</v>
      </c>
      <c r="C45" s="3" t="s">
        <v>268</v>
      </c>
      <c r="D45" s="23" t="s">
        <v>47</v>
      </c>
      <c r="E45" s="4" t="s">
        <v>269</v>
      </c>
      <c r="F45" s="4" t="s">
        <v>264</v>
      </c>
      <c r="G45" s="4" t="s">
        <v>270</v>
      </c>
      <c r="H45" s="22" t="s">
        <v>16</v>
      </c>
      <c r="I45" s="4" t="s">
        <v>271</v>
      </c>
    </row>
    <row r="46" spans="1:9" ht="41.4" customHeight="1" x14ac:dyDescent="0.3">
      <c r="A46" s="33" t="s">
        <v>272</v>
      </c>
      <c r="B46" s="34" t="s">
        <v>226</v>
      </c>
      <c r="C46" s="3" t="s">
        <v>273</v>
      </c>
      <c r="D46" s="21" t="s">
        <v>12</v>
      </c>
      <c r="E46" s="4" t="s">
        <v>274</v>
      </c>
      <c r="F46" s="4" t="s">
        <v>275</v>
      </c>
      <c r="G46" s="4" t="s">
        <v>276</v>
      </c>
      <c r="H46" s="22" t="s">
        <v>16</v>
      </c>
      <c r="I46" s="4" t="s">
        <v>277</v>
      </c>
    </row>
    <row r="47" spans="1:9" ht="41.4" customHeight="1" x14ac:dyDescent="0.3">
      <c r="A47" s="33" t="s">
        <v>278</v>
      </c>
      <c r="B47" s="34" t="s">
        <v>226</v>
      </c>
      <c r="C47" s="3" t="s">
        <v>279</v>
      </c>
      <c r="D47" s="23" t="s">
        <v>26</v>
      </c>
      <c r="E47" s="4" t="s">
        <v>280</v>
      </c>
      <c r="F47" s="4" t="s">
        <v>281</v>
      </c>
      <c r="G47" s="4" t="s">
        <v>282</v>
      </c>
      <c r="H47" s="22" t="s">
        <v>16</v>
      </c>
      <c r="I47" s="4" t="s">
        <v>283</v>
      </c>
    </row>
    <row r="48" spans="1:9" ht="55.2" customHeight="1" x14ac:dyDescent="0.3">
      <c r="A48" s="35" t="s">
        <v>284</v>
      </c>
      <c r="B48" s="36" t="s">
        <v>285</v>
      </c>
      <c r="C48" s="3" t="s">
        <v>286</v>
      </c>
      <c r="D48" s="21" t="s">
        <v>12</v>
      </c>
      <c r="E48" s="4" t="s">
        <v>287</v>
      </c>
      <c r="F48" s="4" t="s">
        <v>288</v>
      </c>
      <c r="G48" s="4" t="s">
        <v>289</v>
      </c>
      <c r="H48" s="25" t="s">
        <v>43</v>
      </c>
      <c r="I48" s="4" t="s">
        <v>290</v>
      </c>
    </row>
    <row r="49" spans="1:9" ht="41.4" customHeight="1" x14ac:dyDescent="0.3">
      <c r="A49" s="35" t="s">
        <v>291</v>
      </c>
      <c r="B49" s="36" t="s">
        <v>285</v>
      </c>
      <c r="C49" s="3" t="s">
        <v>292</v>
      </c>
      <c r="D49" s="23" t="s">
        <v>47</v>
      </c>
      <c r="E49" s="4" t="s">
        <v>293</v>
      </c>
      <c r="F49" s="4" t="s">
        <v>288</v>
      </c>
      <c r="G49" s="4" t="s">
        <v>294</v>
      </c>
      <c r="H49" s="22" t="s">
        <v>16</v>
      </c>
      <c r="I49" s="4" t="s">
        <v>295</v>
      </c>
    </row>
    <row r="50" spans="1:9" ht="41.4" customHeight="1" x14ac:dyDescent="0.3">
      <c r="A50" s="35" t="s">
        <v>296</v>
      </c>
      <c r="B50" s="36" t="s">
        <v>285</v>
      </c>
      <c r="C50" s="3" t="s">
        <v>297</v>
      </c>
      <c r="D50" s="21" t="s">
        <v>12</v>
      </c>
      <c r="E50" s="4" t="s">
        <v>298</v>
      </c>
      <c r="F50" s="4" t="s">
        <v>299</v>
      </c>
      <c r="G50" s="4" t="s">
        <v>300</v>
      </c>
      <c r="H50" s="22" t="s">
        <v>16</v>
      </c>
      <c r="I50" s="4" t="s">
        <v>301</v>
      </c>
    </row>
    <row r="51" spans="1:9" ht="41.4" customHeight="1" x14ac:dyDescent="0.3">
      <c r="A51" s="35" t="s">
        <v>302</v>
      </c>
      <c r="B51" s="36" t="s">
        <v>285</v>
      </c>
      <c r="C51" s="3" t="s">
        <v>303</v>
      </c>
      <c r="D51" s="21" t="s">
        <v>12</v>
      </c>
      <c r="E51" s="4" t="s">
        <v>304</v>
      </c>
      <c r="F51" s="4" t="s">
        <v>299</v>
      </c>
      <c r="G51" s="4" t="s">
        <v>305</v>
      </c>
      <c r="H51" s="25" t="s">
        <v>43</v>
      </c>
      <c r="I51" s="4" t="s">
        <v>306</v>
      </c>
    </row>
    <row r="52" spans="1:9" ht="55.2" customHeight="1" x14ac:dyDescent="0.3">
      <c r="A52" s="35" t="s">
        <v>307</v>
      </c>
      <c r="B52" s="36" t="s">
        <v>285</v>
      </c>
      <c r="C52" s="3" t="s">
        <v>308</v>
      </c>
      <c r="D52" s="23" t="s">
        <v>47</v>
      </c>
      <c r="E52" s="4" t="s">
        <v>309</v>
      </c>
      <c r="F52" s="4" t="s">
        <v>288</v>
      </c>
      <c r="G52" s="4" t="s">
        <v>310</v>
      </c>
      <c r="H52" s="22" t="s">
        <v>16</v>
      </c>
      <c r="I52" s="4" t="s">
        <v>311</v>
      </c>
    </row>
    <row r="53" spans="1:9" ht="41.4" customHeight="1" x14ac:dyDescent="0.3">
      <c r="A53" s="35" t="s">
        <v>312</v>
      </c>
      <c r="B53" s="36" t="s">
        <v>285</v>
      </c>
      <c r="C53" s="3" t="s">
        <v>313</v>
      </c>
      <c r="D53" s="23" t="s">
        <v>47</v>
      </c>
      <c r="E53" s="4" t="s">
        <v>314</v>
      </c>
      <c r="F53" s="4" t="s">
        <v>288</v>
      </c>
      <c r="G53" s="4" t="s">
        <v>315</v>
      </c>
      <c r="H53" s="22" t="s">
        <v>16</v>
      </c>
      <c r="I53" s="4" t="s">
        <v>316</v>
      </c>
    </row>
    <row r="54" spans="1:9" ht="55.2" customHeight="1" x14ac:dyDescent="0.3">
      <c r="A54" s="35" t="s">
        <v>317</v>
      </c>
      <c r="B54" s="36" t="s">
        <v>285</v>
      </c>
      <c r="C54" s="3" t="s">
        <v>318</v>
      </c>
      <c r="D54" s="21" t="s">
        <v>12</v>
      </c>
      <c r="E54" s="4" t="s">
        <v>319</v>
      </c>
      <c r="F54" s="4" t="s">
        <v>320</v>
      </c>
      <c r="G54" s="4" t="s">
        <v>321</v>
      </c>
      <c r="H54" s="22" t="s">
        <v>16</v>
      </c>
      <c r="I54" s="4" t="s">
        <v>322</v>
      </c>
    </row>
    <row r="55" spans="1:9" ht="55.2" customHeight="1" x14ac:dyDescent="0.3">
      <c r="A55" s="35" t="s">
        <v>323</v>
      </c>
      <c r="B55" s="36" t="s">
        <v>285</v>
      </c>
      <c r="C55" s="3" t="s">
        <v>324</v>
      </c>
      <c r="D55" s="23" t="s">
        <v>47</v>
      </c>
      <c r="E55" s="4" t="s">
        <v>325</v>
      </c>
      <c r="F55" s="4" t="s">
        <v>288</v>
      </c>
      <c r="G55" s="4" t="s">
        <v>326</v>
      </c>
      <c r="H55" s="22" t="s">
        <v>16</v>
      </c>
      <c r="I55" s="4" t="s">
        <v>327</v>
      </c>
    </row>
    <row r="56" spans="1:9" ht="41.4" customHeight="1" x14ac:dyDescent="0.3">
      <c r="A56" s="37" t="s">
        <v>328</v>
      </c>
      <c r="B56" s="38" t="s">
        <v>329</v>
      </c>
      <c r="C56" s="3" t="s">
        <v>330</v>
      </c>
      <c r="D56" s="23" t="s">
        <v>47</v>
      </c>
      <c r="E56" s="4" t="s">
        <v>331</v>
      </c>
      <c r="F56" s="4" t="s">
        <v>332</v>
      </c>
      <c r="G56" s="4" t="s">
        <v>333</v>
      </c>
      <c r="H56" s="25" t="s">
        <v>43</v>
      </c>
      <c r="I56" s="4" t="s">
        <v>334</v>
      </c>
    </row>
    <row r="57" spans="1:9" ht="55.2" customHeight="1" x14ac:dyDescent="0.3">
      <c r="A57" s="37" t="s">
        <v>335</v>
      </c>
      <c r="B57" s="38" t="s">
        <v>329</v>
      </c>
      <c r="C57" s="3" t="s">
        <v>336</v>
      </c>
      <c r="D57" s="23" t="s">
        <v>47</v>
      </c>
      <c r="E57" s="4" t="s">
        <v>337</v>
      </c>
      <c r="F57" s="4" t="s">
        <v>332</v>
      </c>
      <c r="G57" s="4" t="s">
        <v>338</v>
      </c>
      <c r="H57" s="25" t="s">
        <v>43</v>
      </c>
      <c r="I57" s="4" t="s">
        <v>339</v>
      </c>
    </row>
    <row r="58" spans="1:9" ht="41.4" customHeight="1" x14ac:dyDescent="0.3">
      <c r="A58" s="37" t="s">
        <v>340</v>
      </c>
      <c r="B58" s="38" t="s">
        <v>329</v>
      </c>
      <c r="C58" s="3" t="s">
        <v>341</v>
      </c>
      <c r="D58" s="21" t="s">
        <v>12</v>
      </c>
      <c r="E58" s="4" t="s">
        <v>342</v>
      </c>
      <c r="F58" s="4" t="s">
        <v>332</v>
      </c>
      <c r="G58" s="4" t="s">
        <v>343</v>
      </c>
      <c r="H58" s="22" t="s">
        <v>16</v>
      </c>
      <c r="I58" s="4" t="s">
        <v>344</v>
      </c>
    </row>
    <row r="59" spans="1:9" ht="55.2" customHeight="1" x14ac:dyDescent="0.3">
      <c r="A59" s="37" t="s">
        <v>345</v>
      </c>
      <c r="B59" s="38" t="s">
        <v>329</v>
      </c>
      <c r="C59" s="3" t="s">
        <v>346</v>
      </c>
      <c r="D59" s="23" t="s">
        <v>47</v>
      </c>
      <c r="E59" s="4" t="s">
        <v>347</v>
      </c>
      <c r="F59" s="4" t="s">
        <v>332</v>
      </c>
      <c r="G59" s="4" t="s">
        <v>348</v>
      </c>
      <c r="H59" s="22" t="s">
        <v>16</v>
      </c>
      <c r="I59" s="4" t="s">
        <v>349</v>
      </c>
    </row>
    <row r="60" spans="1:9" ht="55.2" customHeight="1" x14ac:dyDescent="0.3">
      <c r="A60" s="37" t="s">
        <v>350</v>
      </c>
      <c r="B60" s="38" t="s">
        <v>329</v>
      </c>
      <c r="C60" s="3" t="s">
        <v>351</v>
      </c>
      <c r="D60" s="23" t="s">
        <v>47</v>
      </c>
      <c r="E60" s="4" t="s">
        <v>352</v>
      </c>
      <c r="F60" s="4" t="s">
        <v>332</v>
      </c>
      <c r="G60" s="4" t="s">
        <v>353</v>
      </c>
      <c r="H60" s="22" t="s">
        <v>16</v>
      </c>
      <c r="I60" s="4" t="s">
        <v>354</v>
      </c>
    </row>
    <row r="61" spans="1:9" ht="41.4" customHeight="1" x14ac:dyDescent="0.3">
      <c r="A61" s="37" t="s">
        <v>355</v>
      </c>
      <c r="B61" s="38" t="s">
        <v>329</v>
      </c>
      <c r="C61" s="3" t="s">
        <v>356</v>
      </c>
      <c r="D61" s="23" t="s">
        <v>26</v>
      </c>
      <c r="E61" s="4" t="s">
        <v>357</v>
      </c>
      <c r="F61" s="4" t="s">
        <v>332</v>
      </c>
      <c r="G61" s="4" t="s">
        <v>358</v>
      </c>
      <c r="H61" s="24" t="s">
        <v>30</v>
      </c>
      <c r="I61" s="4" t="s">
        <v>359</v>
      </c>
    </row>
    <row r="62" spans="1:9" ht="41.4" customHeight="1" x14ac:dyDescent="0.3">
      <c r="A62" s="37" t="s">
        <v>360</v>
      </c>
      <c r="B62" s="38" t="s">
        <v>329</v>
      </c>
      <c r="C62" s="3" t="s">
        <v>361</v>
      </c>
      <c r="D62" s="23" t="s">
        <v>26</v>
      </c>
      <c r="E62" s="4" t="s">
        <v>362</v>
      </c>
      <c r="F62" s="4" t="s">
        <v>363</v>
      </c>
      <c r="G62" s="4" t="s">
        <v>364</v>
      </c>
      <c r="H62" s="22" t="s">
        <v>16</v>
      </c>
      <c r="I62" s="4" t="s">
        <v>365</v>
      </c>
    </row>
    <row r="63" spans="1:9" ht="41.4" customHeight="1" x14ac:dyDescent="0.3">
      <c r="A63" s="39" t="s">
        <v>366</v>
      </c>
      <c r="B63" s="40" t="s">
        <v>367</v>
      </c>
      <c r="C63" s="3" t="s">
        <v>368</v>
      </c>
      <c r="D63" s="21" t="s">
        <v>12</v>
      </c>
      <c r="E63" s="4" t="s">
        <v>369</v>
      </c>
      <c r="F63" s="4" t="s">
        <v>370</v>
      </c>
      <c r="G63" s="4" t="s">
        <v>371</v>
      </c>
      <c r="H63" s="22" t="s">
        <v>16</v>
      </c>
      <c r="I63" s="4" t="s">
        <v>372</v>
      </c>
    </row>
    <row r="64" spans="1:9" ht="41.4" customHeight="1" x14ac:dyDescent="0.3">
      <c r="A64" s="39" t="s">
        <v>373</v>
      </c>
      <c r="B64" s="40" t="s">
        <v>367</v>
      </c>
      <c r="C64" s="3" t="s">
        <v>374</v>
      </c>
      <c r="D64" s="23" t="s">
        <v>47</v>
      </c>
      <c r="E64" s="4" t="s">
        <v>375</v>
      </c>
      <c r="F64" s="4" t="s">
        <v>376</v>
      </c>
      <c r="G64" s="4" t="s">
        <v>377</v>
      </c>
      <c r="H64" s="22" t="s">
        <v>16</v>
      </c>
      <c r="I64" s="4" t="s">
        <v>37</v>
      </c>
    </row>
    <row r="65" spans="1:9" ht="41.4" customHeight="1" x14ac:dyDescent="0.3">
      <c r="A65" s="39" t="s">
        <v>378</v>
      </c>
      <c r="B65" s="40" t="s">
        <v>367</v>
      </c>
      <c r="C65" s="3" t="s">
        <v>379</v>
      </c>
      <c r="D65" s="23" t="s">
        <v>26</v>
      </c>
      <c r="E65" s="4" t="s">
        <v>380</v>
      </c>
      <c r="F65" s="4" t="s">
        <v>370</v>
      </c>
      <c r="G65" s="4" t="s">
        <v>381</v>
      </c>
      <c r="H65" s="22" t="s">
        <v>16</v>
      </c>
      <c r="I65" s="4" t="s">
        <v>382</v>
      </c>
    </row>
    <row r="66" spans="1:9" ht="55.2" customHeight="1" x14ac:dyDescent="0.3">
      <c r="A66" s="39" t="s">
        <v>383</v>
      </c>
      <c r="B66" s="40" t="s">
        <v>367</v>
      </c>
      <c r="C66" s="3" t="s">
        <v>384</v>
      </c>
      <c r="D66" s="23" t="s">
        <v>47</v>
      </c>
      <c r="E66" s="4" t="s">
        <v>385</v>
      </c>
      <c r="F66" s="4" t="s">
        <v>370</v>
      </c>
      <c r="G66" s="4" t="s">
        <v>386</v>
      </c>
      <c r="H66" s="22" t="s">
        <v>16</v>
      </c>
      <c r="I66" s="4" t="s">
        <v>387</v>
      </c>
    </row>
    <row r="67" spans="1:9" ht="82.8" customHeight="1" x14ac:dyDescent="0.3">
      <c r="A67" s="39" t="s">
        <v>388</v>
      </c>
      <c r="B67" s="40" t="s">
        <v>367</v>
      </c>
      <c r="C67" s="3" t="s">
        <v>389</v>
      </c>
      <c r="D67" s="21" t="s">
        <v>12</v>
      </c>
      <c r="E67" s="4" t="s">
        <v>390</v>
      </c>
      <c r="F67" s="4" t="s">
        <v>391</v>
      </c>
      <c r="G67" s="4" t="s">
        <v>392</v>
      </c>
      <c r="H67" s="25" t="s">
        <v>43</v>
      </c>
      <c r="I67" s="4" t="s">
        <v>393</v>
      </c>
    </row>
    <row r="68" spans="1:9" ht="41.4" customHeight="1" x14ac:dyDescent="0.3">
      <c r="A68" s="39" t="s">
        <v>394</v>
      </c>
      <c r="B68" s="40" t="s">
        <v>367</v>
      </c>
      <c r="C68" s="3" t="s">
        <v>395</v>
      </c>
      <c r="D68" s="23" t="s">
        <v>26</v>
      </c>
      <c r="E68" s="4" t="s">
        <v>396</v>
      </c>
      <c r="F68" s="4" t="s">
        <v>397</v>
      </c>
      <c r="G68" s="4" t="s">
        <v>398</v>
      </c>
      <c r="H68" s="24" t="s">
        <v>30</v>
      </c>
      <c r="I68" s="4" t="s">
        <v>399</v>
      </c>
    </row>
    <row r="69" spans="1:9" ht="41.4" customHeight="1" x14ac:dyDescent="0.3">
      <c r="A69" s="39" t="s">
        <v>400</v>
      </c>
      <c r="B69" s="40" t="s">
        <v>367</v>
      </c>
      <c r="C69" s="3" t="s">
        <v>401</v>
      </c>
      <c r="D69" s="23" t="s">
        <v>26</v>
      </c>
      <c r="E69" s="4" t="s">
        <v>402</v>
      </c>
      <c r="F69" s="4" t="s">
        <v>403</v>
      </c>
      <c r="G69" s="4" t="s">
        <v>404</v>
      </c>
      <c r="H69" s="24" t="s">
        <v>30</v>
      </c>
      <c r="I69" s="4" t="s">
        <v>405</v>
      </c>
    </row>
    <row r="70" spans="1:9" ht="41.4" customHeight="1" x14ac:dyDescent="0.3">
      <c r="A70" s="41" t="s">
        <v>406</v>
      </c>
      <c r="B70" s="42" t="s">
        <v>407</v>
      </c>
      <c r="C70" s="3" t="s">
        <v>408</v>
      </c>
      <c r="D70" s="23" t="s">
        <v>47</v>
      </c>
      <c r="E70" s="4" t="s">
        <v>409</v>
      </c>
      <c r="F70" s="4" t="s">
        <v>410</v>
      </c>
      <c r="G70" s="4" t="s">
        <v>411</v>
      </c>
      <c r="H70" s="22" t="s">
        <v>16</v>
      </c>
      <c r="I70" s="4" t="s">
        <v>412</v>
      </c>
    </row>
    <row r="71" spans="1:9" ht="41.4" customHeight="1" x14ac:dyDescent="0.3">
      <c r="A71" s="41" t="s">
        <v>413</v>
      </c>
      <c r="B71" s="42" t="s">
        <v>407</v>
      </c>
      <c r="C71" s="3" t="s">
        <v>414</v>
      </c>
      <c r="D71" s="23" t="s">
        <v>47</v>
      </c>
      <c r="E71" s="4" t="s">
        <v>415</v>
      </c>
      <c r="F71" s="4" t="s">
        <v>410</v>
      </c>
      <c r="G71" s="4" t="s">
        <v>416</v>
      </c>
      <c r="H71" s="24" t="s">
        <v>30</v>
      </c>
      <c r="I71" s="4" t="s">
        <v>417</v>
      </c>
    </row>
    <row r="72" spans="1:9" ht="41.4" customHeight="1" x14ac:dyDescent="0.3">
      <c r="A72" s="41" t="s">
        <v>418</v>
      </c>
      <c r="B72" s="42" t="s">
        <v>407</v>
      </c>
      <c r="C72" s="3" t="s">
        <v>419</v>
      </c>
      <c r="D72" s="23" t="s">
        <v>47</v>
      </c>
      <c r="E72" s="4" t="s">
        <v>420</v>
      </c>
      <c r="F72" s="4" t="s">
        <v>410</v>
      </c>
      <c r="G72" s="4" t="s">
        <v>421</v>
      </c>
      <c r="H72" s="22" t="s">
        <v>16</v>
      </c>
      <c r="I72" s="4" t="s">
        <v>51</v>
      </c>
    </row>
    <row r="73" spans="1:9" ht="55.2" customHeight="1" x14ac:dyDescent="0.3">
      <c r="A73" s="41" t="s">
        <v>422</v>
      </c>
      <c r="B73" s="42" t="s">
        <v>407</v>
      </c>
      <c r="C73" s="3" t="s">
        <v>423</v>
      </c>
      <c r="D73" s="21" t="s">
        <v>12</v>
      </c>
      <c r="E73" s="4" t="s">
        <v>424</v>
      </c>
      <c r="F73" s="4" t="s">
        <v>425</v>
      </c>
      <c r="G73" s="4" t="s">
        <v>426</v>
      </c>
      <c r="H73" s="25" t="s">
        <v>43</v>
      </c>
      <c r="I73" s="4" t="s">
        <v>427</v>
      </c>
    </row>
    <row r="74" spans="1:9" ht="41.4" customHeight="1" x14ac:dyDescent="0.3">
      <c r="A74" s="43" t="s">
        <v>428</v>
      </c>
      <c r="B74" s="44" t="s">
        <v>429</v>
      </c>
      <c r="C74" s="3" t="s">
        <v>430</v>
      </c>
      <c r="D74" s="23" t="s">
        <v>47</v>
      </c>
      <c r="E74" s="4" t="s">
        <v>117</v>
      </c>
      <c r="F74" s="4" t="s">
        <v>112</v>
      </c>
      <c r="G74" s="4" t="s">
        <v>431</v>
      </c>
      <c r="H74" s="25" t="s">
        <v>43</v>
      </c>
      <c r="I74" s="4" t="s">
        <v>432</v>
      </c>
    </row>
    <row r="75" spans="1:9" ht="41.4" customHeight="1" x14ac:dyDescent="0.3">
      <c r="A75" s="43" t="s">
        <v>433</v>
      </c>
      <c r="B75" s="44" t="s">
        <v>429</v>
      </c>
      <c r="C75" s="3" t="s">
        <v>434</v>
      </c>
      <c r="D75" s="23" t="s">
        <v>26</v>
      </c>
      <c r="E75" s="4" t="s">
        <v>435</v>
      </c>
      <c r="F75" s="4" t="s">
        <v>436</v>
      </c>
      <c r="G75" s="4" t="s">
        <v>437</v>
      </c>
      <c r="H75" s="25" t="s">
        <v>43</v>
      </c>
      <c r="I75" s="4" t="s">
        <v>438</v>
      </c>
    </row>
    <row r="76" spans="1:9" ht="41.4" customHeight="1" x14ac:dyDescent="0.3">
      <c r="A76" s="43" t="s">
        <v>439</v>
      </c>
      <c r="B76" s="44" t="s">
        <v>429</v>
      </c>
      <c r="C76" s="3" t="s">
        <v>440</v>
      </c>
      <c r="D76" s="21" t="s">
        <v>12</v>
      </c>
      <c r="E76" s="4" t="s">
        <v>441</v>
      </c>
      <c r="F76" s="4" t="s">
        <v>442</v>
      </c>
      <c r="G76" s="4" t="s">
        <v>443</v>
      </c>
      <c r="H76" s="25" t="s">
        <v>43</v>
      </c>
      <c r="I76" s="4" t="s">
        <v>444</v>
      </c>
    </row>
    <row r="77" spans="1:9" ht="55.2" customHeight="1" x14ac:dyDescent="0.3">
      <c r="A77" s="43" t="s">
        <v>445</v>
      </c>
      <c r="B77" s="44" t="s">
        <v>429</v>
      </c>
      <c r="C77" s="3" t="s">
        <v>446</v>
      </c>
      <c r="D77" s="23" t="s">
        <v>47</v>
      </c>
      <c r="E77" s="4" t="s">
        <v>447</v>
      </c>
      <c r="F77" s="4" t="s">
        <v>448</v>
      </c>
      <c r="G77" s="4" t="s">
        <v>449</v>
      </c>
      <c r="H77" s="25" t="s">
        <v>43</v>
      </c>
      <c r="I77" s="4" t="s">
        <v>450</v>
      </c>
    </row>
    <row r="78" spans="1:9" ht="41.4" customHeight="1" x14ac:dyDescent="0.3">
      <c r="A78" s="43" t="s">
        <v>451</v>
      </c>
      <c r="B78" s="44" t="s">
        <v>429</v>
      </c>
      <c r="C78" s="3" t="s">
        <v>452</v>
      </c>
      <c r="D78" s="21" t="s">
        <v>12</v>
      </c>
      <c r="E78" s="4" t="s">
        <v>453</v>
      </c>
      <c r="F78" s="4" t="s">
        <v>454</v>
      </c>
      <c r="G78" s="4" t="s">
        <v>455</v>
      </c>
      <c r="H78" s="25" t="s">
        <v>43</v>
      </c>
      <c r="I78" s="4" t="s">
        <v>456</v>
      </c>
    </row>
    <row r="79" spans="1:9" ht="55.2" customHeight="1" x14ac:dyDescent="0.3">
      <c r="A79" s="43" t="s">
        <v>457</v>
      </c>
      <c r="B79" s="44" t="s">
        <v>429</v>
      </c>
      <c r="C79" s="3" t="s">
        <v>458</v>
      </c>
      <c r="D79" s="21" t="s">
        <v>12</v>
      </c>
      <c r="E79" s="4" t="s">
        <v>459</v>
      </c>
      <c r="F79" s="4" t="s">
        <v>460</v>
      </c>
      <c r="G79" s="4" t="s">
        <v>461</v>
      </c>
      <c r="H79" s="22" t="s">
        <v>16</v>
      </c>
      <c r="I79" s="4" t="s">
        <v>462</v>
      </c>
    </row>
    <row r="80" spans="1:9" ht="41.4" customHeight="1" x14ac:dyDescent="0.3">
      <c r="A80" s="45" t="s">
        <v>463</v>
      </c>
      <c r="B80" s="46" t="s">
        <v>464</v>
      </c>
      <c r="C80" s="3" t="s">
        <v>465</v>
      </c>
      <c r="D80" s="23" t="s">
        <v>26</v>
      </c>
      <c r="E80" s="4" t="s">
        <v>466</v>
      </c>
      <c r="F80" s="4" t="s">
        <v>467</v>
      </c>
      <c r="G80" s="4" t="s">
        <v>468</v>
      </c>
      <c r="H80" s="24" t="s">
        <v>30</v>
      </c>
      <c r="I80" s="4" t="s">
        <v>85</v>
      </c>
    </row>
    <row r="81" spans="1:9" ht="41.4" customHeight="1" x14ac:dyDescent="0.3">
      <c r="A81" s="45" t="s">
        <v>469</v>
      </c>
      <c r="B81" s="46" t="s">
        <v>464</v>
      </c>
      <c r="C81" s="3" t="s">
        <v>470</v>
      </c>
      <c r="D81" s="23" t="s">
        <v>47</v>
      </c>
      <c r="E81" s="4" t="s">
        <v>471</v>
      </c>
      <c r="F81" s="4" t="s">
        <v>472</v>
      </c>
      <c r="G81" s="4" t="s">
        <v>473</v>
      </c>
      <c r="H81" s="24" t="s">
        <v>30</v>
      </c>
      <c r="I81" s="4" t="s">
        <v>85</v>
      </c>
    </row>
    <row r="82" spans="1:9" ht="41.4" customHeight="1" x14ac:dyDescent="0.3">
      <c r="A82" s="45" t="s">
        <v>474</v>
      </c>
      <c r="B82" s="46" t="s">
        <v>464</v>
      </c>
      <c r="C82" s="3" t="s">
        <v>475</v>
      </c>
      <c r="D82" s="23" t="s">
        <v>26</v>
      </c>
      <c r="E82" s="4" t="s">
        <v>476</v>
      </c>
      <c r="F82" s="4" t="s">
        <v>467</v>
      </c>
      <c r="G82" s="4" t="s">
        <v>477</v>
      </c>
      <c r="H82" s="24" t="s">
        <v>30</v>
      </c>
      <c r="I82" s="4" t="s">
        <v>478</v>
      </c>
    </row>
    <row r="83" spans="1:9" ht="41.4" customHeight="1" x14ac:dyDescent="0.3">
      <c r="A83" s="45" t="s">
        <v>479</v>
      </c>
      <c r="B83" s="46" t="s">
        <v>464</v>
      </c>
      <c r="C83" s="3" t="s">
        <v>480</v>
      </c>
      <c r="D83" s="23" t="s">
        <v>47</v>
      </c>
      <c r="E83" s="4" t="s">
        <v>481</v>
      </c>
      <c r="F83" s="4" t="s">
        <v>467</v>
      </c>
      <c r="G83" s="4" t="s">
        <v>482</v>
      </c>
      <c r="H83" s="22" t="s">
        <v>16</v>
      </c>
      <c r="I83" s="4" t="s">
        <v>85</v>
      </c>
    </row>
  </sheetData>
  <autoFilter ref="A1:I83" xr:uid="{00000000-0009-0000-0000-000001000000}"/>
  <pageMargins left="0.4" right="0.4" top="0.5" bottom="0.5"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zoomScale="90" workbookViewId="0">
      <pane ySplit="1" topLeftCell="A2" activePane="bottomLeft" state="frozen"/>
      <selection pane="bottomLeft"/>
    </sheetView>
  </sheetViews>
  <sheetFormatPr baseColWidth="10" defaultColWidth="8.88671875" defaultRowHeight="14.4" x14ac:dyDescent="0.3"/>
  <cols>
    <col min="1" max="1" width="34" customWidth="1"/>
    <col min="2" max="2" width="62" customWidth="1"/>
    <col min="3" max="3" width="46" customWidth="1"/>
    <col min="4" max="4" width="56" customWidth="1"/>
    <col min="5" max="5" width="11" customWidth="1"/>
  </cols>
  <sheetData>
    <row r="1" spans="1:5" ht="30" customHeight="1" x14ac:dyDescent="0.3">
      <c r="A1" s="2" t="s">
        <v>5</v>
      </c>
      <c r="B1" s="2" t="s">
        <v>536</v>
      </c>
      <c r="C1" s="2" t="s">
        <v>537</v>
      </c>
      <c r="D1" s="2" t="s">
        <v>538</v>
      </c>
      <c r="E1" s="2" t="s">
        <v>539</v>
      </c>
    </row>
    <row r="2" spans="1:5" ht="41.4" customHeight="1" x14ac:dyDescent="0.3">
      <c r="A2" s="3" t="s">
        <v>49</v>
      </c>
      <c r="B2" s="4" t="s">
        <v>540</v>
      </c>
      <c r="C2" s="4" t="s">
        <v>541</v>
      </c>
      <c r="D2" s="4" t="s">
        <v>542</v>
      </c>
      <c r="E2" s="47">
        <f>COUNTIF(Detections!$F$2:$F$83,"*"&amp;A2&amp;"*")</f>
        <v>9</v>
      </c>
    </row>
    <row r="3" spans="1:5" ht="69" customHeight="1" x14ac:dyDescent="0.3">
      <c r="A3" s="3" t="s">
        <v>543</v>
      </c>
      <c r="B3" s="4" t="s">
        <v>544</v>
      </c>
      <c r="C3" s="4" t="s">
        <v>545</v>
      </c>
      <c r="D3" s="4" t="s">
        <v>546</v>
      </c>
      <c r="E3" s="47">
        <f>COUNTIF(Detections!$F$2:$F$83,"*"&amp;A3&amp;"*")</f>
        <v>12</v>
      </c>
    </row>
    <row r="4" spans="1:5" ht="41.4" customHeight="1" x14ac:dyDescent="0.3">
      <c r="A4" s="3" t="s">
        <v>547</v>
      </c>
      <c r="B4" s="4" t="s">
        <v>548</v>
      </c>
      <c r="C4" s="4" t="s">
        <v>549</v>
      </c>
      <c r="D4" s="4" t="s">
        <v>550</v>
      </c>
      <c r="E4" s="47">
        <f>COUNTIF(Detections!$F$2:$F$83,"*"&amp;A4&amp;"*")</f>
        <v>13</v>
      </c>
    </row>
    <row r="5" spans="1:5" ht="41.4" customHeight="1" x14ac:dyDescent="0.3">
      <c r="A5" s="3" t="s">
        <v>551</v>
      </c>
      <c r="B5" s="4" t="s">
        <v>552</v>
      </c>
      <c r="C5" s="4" t="s">
        <v>553</v>
      </c>
      <c r="D5" s="4" t="s">
        <v>554</v>
      </c>
      <c r="E5" s="47">
        <f>COUNTIF(Detections!$F$2:$F$83,"*"&amp;A5&amp;"*")</f>
        <v>2</v>
      </c>
    </row>
    <row r="6" spans="1:5" ht="27.6" customHeight="1" x14ac:dyDescent="0.3">
      <c r="A6" s="3" t="s">
        <v>555</v>
      </c>
      <c r="B6" s="4" t="s">
        <v>556</v>
      </c>
      <c r="C6" s="4" t="s">
        <v>557</v>
      </c>
      <c r="D6" s="4" t="s">
        <v>558</v>
      </c>
      <c r="E6" s="47">
        <f>COUNTIF(Detections!$F$2:$F$83,"*"&amp;A6&amp;"*")</f>
        <v>7</v>
      </c>
    </row>
    <row r="7" spans="1:5" ht="41.4" customHeight="1" x14ac:dyDescent="0.3">
      <c r="A7" s="3" t="s">
        <v>559</v>
      </c>
      <c r="B7" s="4" t="s">
        <v>560</v>
      </c>
      <c r="C7" s="4" t="s">
        <v>561</v>
      </c>
      <c r="D7" s="4" t="s">
        <v>562</v>
      </c>
      <c r="E7" s="47">
        <f>COUNTIF(Detections!$F$2:$F$83,"*"&amp;A7&amp;"*")</f>
        <v>6</v>
      </c>
    </row>
    <row r="8" spans="1:5" ht="41.4" customHeight="1" x14ac:dyDescent="0.3">
      <c r="A8" s="3" t="s">
        <v>142</v>
      </c>
      <c r="B8" s="4" t="s">
        <v>563</v>
      </c>
      <c r="C8" s="4" t="s">
        <v>564</v>
      </c>
      <c r="D8" s="4" t="s">
        <v>565</v>
      </c>
      <c r="E8" s="47">
        <f>COUNTIF(Detections!$F$2:$F$83,"*"&amp;A8&amp;"*")</f>
        <v>9</v>
      </c>
    </row>
    <row r="9" spans="1:5" ht="27.6" customHeight="1" x14ac:dyDescent="0.3">
      <c r="A9" s="3" t="s">
        <v>159</v>
      </c>
      <c r="B9" s="4" t="s">
        <v>566</v>
      </c>
      <c r="C9" s="4" t="s">
        <v>567</v>
      </c>
      <c r="D9" s="4" t="s">
        <v>568</v>
      </c>
      <c r="E9" s="47">
        <f>COUNTIF(Detections!$F$2:$F$83,"*"&amp;A9&amp;"*")</f>
        <v>7</v>
      </c>
    </row>
    <row r="10" spans="1:5" ht="41.4" customHeight="1" x14ac:dyDescent="0.3">
      <c r="A10" s="3" t="s">
        <v>569</v>
      </c>
      <c r="B10" s="4" t="s">
        <v>570</v>
      </c>
      <c r="C10" s="4" t="s">
        <v>571</v>
      </c>
      <c r="D10" s="4" t="s">
        <v>572</v>
      </c>
      <c r="E10" s="47">
        <f>COUNTIF(Detections!$F$2:$F$83,"*"&amp;A10&amp;"*")</f>
        <v>6</v>
      </c>
    </row>
    <row r="11" spans="1:5" ht="27.6" customHeight="1" x14ac:dyDescent="0.3">
      <c r="A11" s="3" t="s">
        <v>573</v>
      </c>
      <c r="B11" s="4" t="s">
        <v>574</v>
      </c>
      <c r="C11" s="4" t="s">
        <v>575</v>
      </c>
      <c r="D11" s="4" t="s">
        <v>576</v>
      </c>
      <c r="E11" s="47">
        <f>COUNTIF(Detections!$F$2:$F$83,"*"&amp;A11&amp;"*")</f>
        <v>7</v>
      </c>
    </row>
    <row r="12" spans="1:5" ht="41.4" customHeight="1" x14ac:dyDescent="0.3">
      <c r="A12" s="3" t="s">
        <v>577</v>
      </c>
      <c r="B12" s="4" t="s">
        <v>578</v>
      </c>
      <c r="C12" s="4" t="s">
        <v>579</v>
      </c>
      <c r="D12" s="4" t="s">
        <v>580</v>
      </c>
      <c r="E12" s="47">
        <f>COUNTIF(Detections!$F$2:$F$83,"*"&amp;A12&amp;"*")</f>
        <v>2</v>
      </c>
    </row>
    <row r="13" spans="1:5" ht="41.4" customHeight="1" x14ac:dyDescent="0.3">
      <c r="A13" s="3" t="s">
        <v>252</v>
      </c>
      <c r="B13" s="4" t="s">
        <v>581</v>
      </c>
      <c r="C13" s="4" t="s">
        <v>582</v>
      </c>
      <c r="D13" s="4" t="s">
        <v>583</v>
      </c>
      <c r="E13" s="47">
        <f>COUNTIF(Detections!$F$2:$F$83,"*"&amp;A13&amp;"*")</f>
        <v>12</v>
      </c>
    </row>
    <row r="14" spans="1:5" ht="27.6" customHeight="1" x14ac:dyDescent="0.3">
      <c r="A14" s="3" t="s">
        <v>275</v>
      </c>
      <c r="B14" s="4" t="s">
        <v>584</v>
      </c>
      <c r="C14" s="4" t="s">
        <v>585</v>
      </c>
      <c r="D14" s="4" t="s">
        <v>586</v>
      </c>
      <c r="E14" s="47">
        <f>COUNTIF(Detections!$F$2:$F$83,"*"&amp;A14&amp;"*")</f>
        <v>3</v>
      </c>
    </row>
    <row r="15" spans="1:5" ht="27.6" customHeight="1" x14ac:dyDescent="0.3">
      <c r="A15" s="3" t="s">
        <v>587</v>
      </c>
      <c r="B15" s="4" t="s">
        <v>588</v>
      </c>
      <c r="C15" s="4" t="s">
        <v>589</v>
      </c>
      <c r="D15" s="4" t="s">
        <v>590</v>
      </c>
      <c r="E15" s="47">
        <f>COUNTIF(Detections!$F$2:$F$83,"*"&amp;A15&amp;"*")</f>
        <v>5</v>
      </c>
    </row>
    <row r="16" spans="1:5" ht="27.6" customHeight="1" x14ac:dyDescent="0.3">
      <c r="A16" s="3" t="s">
        <v>246</v>
      </c>
      <c r="B16" s="4" t="s">
        <v>591</v>
      </c>
      <c r="C16" s="4" t="s">
        <v>592</v>
      </c>
      <c r="D16" s="4" t="s">
        <v>593</v>
      </c>
      <c r="E16" s="47">
        <f>COUNTIF(Detections!$F$2:$F$83,"*"&amp;A16&amp;"*")</f>
        <v>3</v>
      </c>
    </row>
    <row r="17" spans="1:5" ht="27.6" customHeight="1" x14ac:dyDescent="0.3">
      <c r="A17" s="3" t="s">
        <v>594</v>
      </c>
      <c r="B17" s="4" t="s">
        <v>595</v>
      </c>
      <c r="C17" s="4" t="s">
        <v>596</v>
      </c>
      <c r="D17" s="4" t="s">
        <v>597</v>
      </c>
      <c r="E17" s="47">
        <f>COUNTIF(Detections!$F$2:$F$83,"*"&amp;A17&amp;"*")</f>
        <v>2</v>
      </c>
    </row>
    <row r="18" spans="1:5" ht="27.6" customHeight="1" x14ac:dyDescent="0.3">
      <c r="A18" s="3" t="s">
        <v>598</v>
      </c>
      <c r="B18" s="4" t="s">
        <v>599</v>
      </c>
      <c r="C18" s="4" t="s">
        <v>600</v>
      </c>
      <c r="D18" s="4" t="s">
        <v>601</v>
      </c>
      <c r="E18" s="47">
        <f>COUNTIF(Detections!$F$2:$F$83,"*"&amp;A18&amp;"*")</f>
        <v>2</v>
      </c>
    </row>
    <row r="19" spans="1:5" ht="55.2" customHeight="1" x14ac:dyDescent="0.3">
      <c r="A19" s="3" t="s">
        <v>288</v>
      </c>
      <c r="B19" s="4" t="s">
        <v>602</v>
      </c>
      <c r="C19" s="4" t="s">
        <v>603</v>
      </c>
      <c r="D19" s="4" t="s">
        <v>604</v>
      </c>
      <c r="E19" s="47">
        <f>COUNTIF(Detections!$F$2:$F$83,"*"&amp;A19&amp;"*")</f>
        <v>10</v>
      </c>
    </row>
    <row r="20" spans="1:5" ht="27.6" customHeight="1" x14ac:dyDescent="0.3">
      <c r="A20" s="3" t="s">
        <v>605</v>
      </c>
      <c r="B20" s="4" t="s">
        <v>606</v>
      </c>
      <c r="C20" s="4" t="s">
        <v>607</v>
      </c>
      <c r="D20" s="4" t="s">
        <v>608</v>
      </c>
      <c r="E20" s="47">
        <f>COUNTIF(Detections!$F$2:$F$83,"*"&amp;A20&amp;"*")</f>
        <v>1</v>
      </c>
    </row>
    <row r="21" spans="1:5" ht="41.4" customHeight="1" x14ac:dyDescent="0.3">
      <c r="A21" s="3" t="s">
        <v>332</v>
      </c>
      <c r="B21" s="4" t="s">
        <v>609</v>
      </c>
      <c r="C21" s="4" t="s">
        <v>610</v>
      </c>
      <c r="D21" s="4" t="s">
        <v>611</v>
      </c>
      <c r="E21" s="47">
        <f>COUNTIF(Detections!$F$2:$F$83,"*"&amp;A21&amp;"*")</f>
        <v>8</v>
      </c>
    </row>
    <row r="22" spans="1:5" ht="27.6" customHeight="1" x14ac:dyDescent="0.3">
      <c r="A22" s="3" t="s">
        <v>612</v>
      </c>
      <c r="B22" s="4" t="s">
        <v>613</v>
      </c>
      <c r="C22" s="4" t="s">
        <v>614</v>
      </c>
      <c r="D22" s="4" t="s">
        <v>615</v>
      </c>
      <c r="E22" s="47">
        <f>COUNTIF(Detections!$F$2:$F$83,"*"&amp;A22&amp;"*")</f>
        <v>1</v>
      </c>
    </row>
    <row r="23" spans="1:5" ht="41.4" customHeight="1" x14ac:dyDescent="0.3">
      <c r="A23" s="3" t="s">
        <v>370</v>
      </c>
      <c r="B23" s="4" t="s">
        <v>616</v>
      </c>
      <c r="C23" s="4" t="s">
        <v>617</v>
      </c>
      <c r="D23" s="4" t="s">
        <v>618</v>
      </c>
      <c r="E23" s="47">
        <f>COUNTIF(Detections!$F$2:$F$83,"*"&amp;A23&amp;"*")</f>
        <v>4</v>
      </c>
    </row>
    <row r="24" spans="1:5" ht="27.6" customHeight="1" x14ac:dyDescent="0.3">
      <c r="A24" s="3" t="s">
        <v>397</v>
      </c>
      <c r="B24" s="4" t="s">
        <v>619</v>
      </c>
      <c r="C24" s="4" t="s">
        <v>620</v>
      </c>
      <c r="D24" s="4" t="s">
        <v>621</v>
      </c>
      <c r="E24" s="47">
        <f>COUNTIF(Detections!$F$2:$F$83,"*"&amp;A24&amp;"*")</f>
        <v>1</v>
      </c>
    </row>
    <row r="25" spans="1:5" ht="27.6" customHeight="1" x14ac:dyDescent="0.3">
      <c r="A25" s="3" t="s">
        <v>622</v>
      </c>
      <c r="B25" s="4" t="s">
        <v>623</v>
      </c>
      <c r="C25" s="4" t="s">
        <v>624</v>
      </c>
      <c r="D25" s="4" t="s">
        <v>625</v>
      </c>
      <c r="E25" s="47">
        <f>COUNTIF(Detections!$F$2:$F$83,"*"&amp;A25&amp;"*")</f>
        <v>13</v>
      </c>
    </row>
    <row r="26" spans="1:5" ht="41.4" customHeight="1" x14ac:dyDescent="0.3">
      <c r="A26" s="3" t="s">
        <v>448</v>
      </c>
      <c r="B26" s="4" t="s">
        <v>626</v>
      </c>
      <c r="C26" s="4" t="s">
        <v>627</v>
      </c>
      <c r="D26" s="4" t="s">
        <v>628</v>
      </c>
      <c r="E26" s="47">
        <f>COUNTIF(Detections!$F$2:$F$83,"*"&amp;A26&amp;"*")</f>
        <v>1</v>
      </c>
    </row>
    <row r="27" spans="1:5" ht="41.4" customHeight="1" x14ac:dyDescent="0.3">
      <c r="A27" s="3" t="s">
        <v>410</v>
      </c>
      <c r="B27" s="4" t="s">
        <v>629</v>
      </c>
      <c r="C27" s="4" t="s">
        <v>630</v>
      </c>
      <c r="D27" s="4" t="s">
        <v>631</v>
      </c>
      <c r="E27" s="47">
        <f>COUNTIF(Detections!$F$2:$F$83,"*"&amp;A27&amp;"*")</f>
        <v>3</v>
      </c>
    </row>
    <row r="28" spans="1:5" ht="41.4" customHeight="1" x14ac:dyDescent="0.3">
      <c r="A28" s="3" t="s">
        <v>425</v>
      </c>
      <c r="B28" s="4" t="s">
        <v>632</v>
      </c>
      <c r="C28" s="4" t="s">
        <v>633</v>
      </c>
      <c r="D28" s="4" t="s">
        <v>634</v>
      </c>
      <c r="E28" s="47">
        <f>COUNTIF(Detections!$F$2:$F$83,"*"&amp;A28&amp;"*")</f>
        <v>1</v>
      </c>
    </row>
    <row r="29" spans="1:5" ht="27.6" customHeight="1" x14ac:dyDescent="0.3">
      <c r="A29" s="3" t="s">
        <v>467</v>
      </c>
      <c r="B29" s="4" t="s">
        <v>635</v>
      </c>
      <c r="C29" s="4" t="s">
        <v>636</v>
      </c>
      <c r="D29" s="4" t="s">
        <v>637</v>
      </c>
      <c r="E29" s="47">
        <f>COUNTIF(Detections!$F$2:$F$83,"*"&amp;A29&amp;"*")</f>
        <v>4</v>
      </c>
    </row>
  </sheetData>
  <autoFilter ref="A1:E29" xr:uid="{00000000-0009-0000-0000-000002000000}"/>
  <pageMargins left="0.4" right="0.4" top="0.5" bottom="0.5"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Lisez-moi</vt:lpstr>
      <vt:lpstr>Detections</vt:lpstr>
      <vt:lpstr>Sources_logs</vt:lpstr>
      <vt:lpstr>Detections!Impression_des_titres</vt:lpstr>
      <vt:lpstr>Sources_logs!Impression_des_titres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Catalogue de détection générique – SIEM / XDR</dc:title>
  <dc:subject>Cas d'usage de détection, logs à collecter et logique de règle</dc:subject>
  <dc:creator>SOC CBF</dc:creator>
  <cp:lastModifiedBy>walid bzeouich</cp:lastModifiedBy>
  <dcterms:created xsi:type="dcterms:W3CDTF">2026-10-19T13:54:23Z</dcterms:created>
  <dcterms:modified xsi:type="dcterms:W3CDTF">2026-10-19T13:56:05Z</dcterms:modified>
</cp:coreProperties>
</file>